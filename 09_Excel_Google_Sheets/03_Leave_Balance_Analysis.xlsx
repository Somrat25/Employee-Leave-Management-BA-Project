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_Balance" sheetId="1" r:id="rId5"/>
  </sheets>
  <definedNames/>
  <calcPr/>
</workbook>
</file>

<file path=xl/sharedStrings.xml><?xml version="1.0" encoding="utf-8"?>
<sst xmlns="http://schemas.openxmlformats.org/spreadsheetml/2006/main" count="76" uniqueCount="53">
  <si>
    <t>Employee ID</t>
  </si>
  <si>
    <t>Employee Name</t>
  </si>
  <si>
    <t>Department</t>
  </si>
  <si>
    <t>Leave Type</t>
  </si>
  <si>
    <t>Total Leave</t>
  </si>
  <si>
    <t>Leave Taken</t>
  </si>
  <si>
    <t>Leave Balance</t>
  </si>
  <si>
    <t>Status</t>
  </si>
  <si>
    <t>EMP-101</t>
  </si>
  <si>
    <t>Sarah Jenkins</t>
  </si>
  <si>
    <t>Human Resources</t>
  </si>
  <si>
    <t>Annual Leave</t>
  </si>
  <si>
    <t>EMP-102</t>
  </si>
  <si>
    <t>Michael Chang</t>
  </si>
  <si>
    <t>Engineering</t>
  </si>
  <si>
    <t>EMP-103</t>
  </si>
  <si>
    <t>Ayesha Siddiqua</t>
  </si>
  <si>
    <t>Marketing</t>
  </si>
  <si>
    <t>EMP-104</t>
  </si>
  <si>
    <t>David Miller</t>
  </si>
  <si>
    <t>Finance</t>
  </si>
  <si>
    <t>EMP-105</t>
  </si>
  <si>
    <t>Rafiqul Islam</t>
  </si>
  <si>
    <t>Operations</t>
  </si>
  <si>
    <t>EMP-106</t>
  </si>
  <si>
    <t>Jessica Taylor</t>
  </si>
  <si>
    <t>Product</t>
  </si>
  <si>
    <t>EMP-107</t>
  </si>
  <si>
    <t>Tanvir Hasan</t>
  </si>
  <si>
    <t>Customer Support</t>
  </si>
  <si>
    <t>EMP-108</t>
  </si>
  <si>
    <t>Emily Watson</t>
  </si>
  <si>
    <t>EMP-109</t>
  </si>
  <si>
    <t>Tariq Mahmood</t>
  </si>
  <si>
    <t>Sales</t>
  </si>
  <si>
    <t>EMP-110</t>
  </si>
  <si>
    <t>Nusrat Jahan</t>
  </si>
  <si>
    <t>Quality Assurance</t>
  </si>
  <si>
    <t>EMP-111</t>
  </si>
  <si>
    <t>James Wilson</t>
  </si>
  <si>
    <t>IT Support</t>
  </si>
  <si>
    <t>EMP-112</t>
  </si>
  <si>
    <t>Farhan Ahmed</t>
  </si>
  <si>
    <t>EMP-113</t>
  </si>
  <si>
    <t>Samantha Brooks</t>
  </si>
  <si>
    <t>EMP-114</t>
  </si>
  <si>
    <t>Kabir Hossain</t>
  </si>
  <si>
    <t>EMP-115</t>
  </si>
  <si>
    <t>Olivia Chen</t>
  </si>
  <si>
    <t>EMP-116</t>
  </si>
  <si>
    <t>Mehedi Hasan</t>
  </si>
  <si>
    <t>EMP-117</t>
  </si>
  <si>
    <t>Rachel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</si>
</sst>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rgb="FF1A1B20"/>
      <name val="Roboto"/>
    </font>
    <font>
      <b/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2" numFmtId="1" xfId="0" applyAlignment="1" applyBorder="1" applyFont="1" applyNumberFormat="1">
      <alignment readingOrder="0" shrinkToFit="0" vertical="center" wrapText="0"/>
    </xf>
    <xf borderId="2" fillId="0" fontId="2" numFmtId="1" xfId="0" applyAlignment="1" applyBorder="1" applyFont="1" applyNumberForma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5" fillId="0" fontId="2" numFmtId="1" xfId="0" applyAlignment="1" applyBorder="1" applyFont="1" applyNumberFormat="1">
      <alignment readingOrder="0" shrinkToFit="0" vertical="center" wrapText="0"/>
    </xf>
    <xf borderId="5" fillId="0" fontId="2" numFmtId="1" xfId="0" applyAlignment="1" applyBorder="1" applyFont="1" applyNumberFormat="1">
      <alignment shrinkToFit="0" vertical="center" wrapText="0"/>
    </xf>
    <xf borderId="6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B87100"/>
      </font>
      <fill>
        <patternFill patternType="solid">
          <fgColor rgb="FFFDF7DF"/>
          <bgColor rgb="FFFDF7DF"/>
        </patternFill>
      </fill>
      <border/>
    </dxf>
    <dxf>
      <font>
        <b/>
        <color rgb="FF137C3C"/>
      </font>
      <fill>
        <patternFill patternType="solid">
          <fgColor rgb="FFE6F4EA"/>
          <bgColor rgb="FFE6F4EA"/>
        </patternFill>
      </fill>
      <border/>
    </dxf>
  </dxfs>
  <tableStyles count="1">
    <tableStyle count="4" pivot="0" name="Leave_Bal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" displayName="LeaveBalance" name="LeaveBalance" id="1">
  <tableColumns count="8">
    <tableColumn name="Employee ID" id="1"/>
    <tableColumn name="Employee Name" id="2"/>
    <tableColumn name="Department" id="3"/>
    <tableColumn name="Leave Type" id="4"/>
    <tableColumn name="Total Leave" id="5"/>
    <tableColumn name="Leave Taken" id="6"/>
    <tableColumn name="Leave Balance" id="7"/>
    <tableColumn name="Status" id="8"/>
  </tableColumns>
  <tableStyleInfo name="Leave_Bal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7.0"/>
    <col customWidth="1" min="3" max="3" width="18.25"/>
    <col customWidth="1" min="4" max="4" width="14.5"/>
    <col customWidth="1" min="5" max="6" width="15.75"/>
    <col customWidth="1" min="7" max="7" width="17.0"/>
    <col customWidth="1" min="8" max="8" width="12.0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0" customHeight="1">
      <c r="A2" s="2" t="s">
        <v>8</v>
      </c>
      <c r="B2" s="3" t="s">
        <v>9</v>
      </c>
      <c r="C2" s="3" t="s">
        <v>10</v>
      </c>
      <c r="D2" s="3" t="s">
        <v>11</v>
      </c>
      <c r="E2" s="4">
        <v>25.0</v>
      </c>
      <c r="F2" s="4">
        <v>18.0</v>
      </c>
      <c r="G2" s="5">
        <f t="shared" ref="G2:G18" si="1">E2-F2</f>
        <v>7</v>
      </c>
      <c r="H2" s="6" t="str">
        <f t="shared" ref="H2:H18" si="2">IF(G2&lt;=5, "Low", IF(G2&lt;=10, "Medium", "Healthy"))</f>
        <v>Medium</v>
      </c>
    </row>
    <row r="3" ht="21.0" customHeight="1">
      <c r="A3" s="2" t="s">
        <v>12</v>
      </c>
      <c r="B3" s="3" t="s">
        <v>13</v>
      </c>
      <c r="C3" s="3" t="s">
        <v>14</v>
      </c>
      <c r="D3" s="3" t="s">
        <v>11</v>
      </c>
      <c r="E3" s="4">
        <v>24.0</v>
      </c>
      <c r="F3" s="4">
        <v>10.0</v>
      </c>
      <c r="G3" s="5">
        <f t="shared" si="1"/>
        <v>14</v>
      </c>
      <c r="H3" s="6" t="str">
        <f t="shared" si="2"/>
        <v>Healthy</v>
      </c>
    </row>
    <row r="4" ht="21.0" customHeight="1">
      <c r="A4" s="2" t="s">
        <v>15</v>
      </c>
      <c r="B4" s="3" t="s">
        <v>16</v>
      </c>
      <c r="C4" s="3" t="s">
        <v>17</v>
      </c>
      <c r="D4" s="3" t="s">
        <v>11</v>
      </c>
      <c r="E4" s="4">
        <v>22.0</v>
      </c>
      <c r="F4" s="4">
        <v>20.0</v>
      </c>
      <c r="G4" s="5">
        <f t="shared" si="1"/>
        <v>2</v>
      </c>
      <c r="H4" s="6" t="str">
        <f t="shared" si="2"/>
        <v>Low</v>
      </c>
    </row>
    <row r="5" ht="21.0" customHeight="1">
      <c r="A5" s="2" t="s">
        <v>18</v>
      </c>
      <c r="B5" s="3" t="s">
        <v>19</v>
      </c>
      <c r="C5" s="3" t="s">
        <v>20</v>
      </c>
      <c r="D5" s="3" t="s">
        <v>11</v>
      </c>
      <c r="E5" s="4">
        <v>25.0</v>
      </c>
      <c r="F5" s="4">
        <v>8.0</v>
      </c>
      <c r="G5" s="5">
        <f t="shared" si="1"/>
        <v>17</v>
      </c>
      <c r="H5" s="6" t="str">
        <f t="shared" si="2"/>
        <v>Healthy</v>
      </c>
    </row>
    <row r="6" ht="21.0" customHeight="1">
      <c r="A6" s="2" t="s">
        <v>21</v>
      </c>
      <c r="B6" s="3" t="s">
        <v>22</v>
      </c>
      <c r="C6" s="3" t="s">
        <v>23</v>
      </c>
      <c r="D6" s="3" t="s">
        <v>11</v>
      </c>
      <c r="E6" s="4">
        <v>20.0</v>
      </c>
      <c r="F6" s="4">
        <v>16.0</v>
      </c>
      <c r="G6" s="5">
        <f t="shared" si="1"/>
        <v>4</v>
      </c>
      <c r="H6" s="6" t="str">
        <f t="shared" si="2"/>
        <v>Low</v>
      </c>
    </row>
    <row r="7" ht="21.0" customHeight="1">
      <c r="A7" s="2" t="s">
        <v>24</v>
      </c>
      <c r="B7" s="3" t="s">
        <v>25</v>
      </c>
      <c r="C7" s="3" t="s">
        <v>26</v>
      </c>
      <c r="D7" s="3" t="s">
        <v>11</v>
      </c>
      <c r="E7" s="4">
        <v>24.0</v>
      </c>
      <c r="F7" s="4">
        <v>14.0</v>
      </c>
      <c r="G7" s="5">
        <f t="shared" si="1"/>
        <v>10</v>
      </c>
      <c r="H7" s="6" t="str">
        <f t="shared" si="2"/>
        <v>Medium</v>
      </c>
    </row>
    <row r="8" ht="21.0" customHeight="1">
      <c r="A8" s="2" t="s">
        <v>27</v>
      </c>
      <c r="B8" s="3" t="s">
        <v>28</v>
      </c>
      <c r="C8" s="3" t="s">
        <v>29</v>
      </c>
      <c r="D8" s="3" t="s">
        <v>11</v>
      </c>
      <c r="E8" s="4">
        <v>20.0</v>
      </c>
      <c r="F8" s="4">
        <v>18.0</v>
      </c>
      <c r="G8" s="5">
        <f t="shared" si="1"/>
        <v>2</v>
      </c>
      <c r="H8" s="6" t="str">
        <f t="shared" si="2"/>
        <v>Low</v>
      </c>
    </row>
    <row r="9" ht="21.0" customHeight="1">
      <c r="A9" s="2" t="s">
        <v>30</v>
      </c>
      <c r="B9" s="3" t="s">
        <v>31</v>
      </c>
      <c r="C9" s="3" t="s">
        <v>14</v>
      </c>
      <c r="D9" s="3" t="s">
        <v>11</v>
      </c>
      <c r="E9" s="4">
        <v>25.0</v>
      </c>
      <c r="F9" s="4">
        <v>6.0</v>
      </c>
      <c r="G9" s="5">
        <f t="shared" si="1"/>
        <v>19</v>
      </c>
      <c r="H9" s="6" t="str">
        <f t="shared" si="2"/>
        <v>Healthy</v>
      </c>
    </row>
    <row r="10" ht="21.0" customHeight="1">
      <c r="A10" s="2" t="s">
        <v>32</v>
      </c>
      <c r="B10" s="3" t="s">
        <v>33</v>
      </c>
      <c r="C10" s="3" t="s">
        <v>34</v>
      </c>
      <c r="D10" s="3" t="s">
        <v>11</v>
      </c>
      <c r="E10" s="4">
        <v>22.0</v>
      </c>
      <c r="F10" s="4">
        <v>12.0</v>
      </c>
      <c r="G10" s="5">
        <f t="shared" si="1"/>
        <v>10</v>
      </c>
      <c r="H10" s="6" t="str">
        <f t="shared" si="2"/>
        <v>Medium</v>
      </c>
    </row>
    <row r="11" ht="21.0" customHeight="1">
      <c r="A11" s="2" t="s">
        <v>35</v>
      </c>
      <c r="B11" s="3" t="s">
        <v>36</v>
      </c>
      <c r="C11" s="3" t="s">
        <v>37</v>
      </c>
      <c r="D11" s="3" t="s">
        <v>11</v>
      </c>
      <c r="E11" s="4">
        <v>20.0</v>
      </c>
      <c r="F11" s="4">
        <v>5.0</v>
      </c>
      <c r="G11" s="5">
        <f t="shared" si="1"/>
        <v>15</v>
      </c>
      <c r="H11" s="6" t="str">
        <f t="shared" si="2"/>
        <v>Healthy</v>
      </c>
    </row>
    <row r="12" ht="21.0" customHeight="1">
      <c r="A12" s="2" t="s">
        <v>38</v>
      </c>
      <c r="B12" s="3" t="s">
        <v>39</v>
      </c>
      <c r="C12" s="3" t="s">
        <v>40</v>
      </c>
      <c r="D12" s="3" t="s">
        <v>11</v>
      </c>
      <c r="E12" s="4">
        <v>24.0</v>
      </c>
      <c r="F12" s="4">
        <v>22.0</v>
      </c>
      <c r="G12" s="5">
        <f t="shared" si="1"/>
        <v>2</v>
      </c>
      <c r="H12" s="6" t="str">
        <f t="shared" si="2"/>
        <v>Low</v>
      </c>
    </row>
    <row r="13" ht="21.0" customHeight="1">
      <c r="A13" s="2" t="s">
        <v>41</v>
      </c>
      <c r="B13" s="3" t="s">
        <v>42</v>
      </c>
      <c r="C13" s="3" t="s">
        <v>23</v>
      </c>
      <c r="D13" s="3" t="s">
        <v>11</v>
      </c>
      <c r="E13" s="4">
        <v>22.0</v>
      </c>
      <c r="F13" s="4">
        <v>15.0</v>
      </c>
      <c r="G13" s="5">
        <f t="shared" si="1"/>
        <v>7</v>
      </c>
      <c r="H13" s="6" t="str">
        <f t="shared" si="2"/>
        <v>Medium</v>
      </c>
    </row>
    <row r="14" ht="21.0" customHeight="1">
      <c r="A14" s="2" t="s">
        <v>43</v>
      </c>
      <c r="B14" s="3" t="s">
        <v>44</v>
      </c>
      <c r="C14" s="3" t="s">
        <v>17</v>
      </c>
      <c r="D14" s="3" t="s">
        <v>11</v>
      </c>
      <c r="E14" s="4">
        <v>25.0</v>
      </c>
      <c r="F14" s="4">
        <v>11.0</v>
      </c>
      <c r="G14" s="5">
        <f t="shared" si="1"/>
        <v>14</v>
      </c>
      <c r="H14" s="6" t="str">
        <f t="shared" si="2"/>
        <v>Healthy</v>
      </c>
    </row>
    <row r="15" ht="21.0" customHeight="1">
      <c r="A15" s="2" t="s">
        <v>45</v>
      </c>
      <c r="B15" s="3" t="s">
        <v>46</v>
      </c>
      <c r="C15" s="3" t="s">
        <v>20</v>
      </c>
      <c r="D15" s="3" t="s">
        <v>11</v>
      </c>
      <c r="E15" s="4">
        <v>20.0</v>
      </c>
      <c r="F15" s="4">
        <v>17.0</v>
      </c>
      <c r="G15" s="5">
        <f t="shared" si="1"/>
        <v>3</v>
      </c>
      <c r="H15" s="6" t="str">
        <f t="shared" si="2"/>
        <v>Low</v>
      </c>
    </row>
    <row r="16" ht="21.0" customHeight="1">
      <c r="A16" s="2" t="s">
        <v>47</v>
      </c>
      <c r="B16" s="3" t="s">
        <v>48</v>
      </c>
      <c r="C16" s="3" t="s">
        <v>14</v>
      </c>
      <c r="D16" s="3" t="s">
        <v>11</v>
      </c>
      <c r="E16" s="4">
        <v>24.0</v>
      </c>
      <c r="F16" s="4">
        <v>4.0</v>
      </c>
      <c r="G16" s="5">
        <f t="shared" si="1"/>
        <v>20</v>
      </c>
      <c r="H16" s="6" t="str">
        <f t="shared" si="2"/>
        <v>Healthy</v>
      </c>
    </row>
    <row r="17" ht="21.0" customHeight="1">
      <c r="A17" s="2" t="s">
        <v>49</v>
      </c>
      <c r="B17" s="3" t="s">
        <v>50</v>
      </c>
      <c r="C17" s="3" t="s">
        <v>34</v>
      </c>
      <c r="D17" s="3" t="s">
        <v>11</v>
      </c>
      <c r="E17" s="4">
        <v>22.0</v>
      </c>
      <c r="F17" s="4">
        <v>14.0</v>
      </c>
      <c r="G17" s="5">
        <f t="shared" si="1"/>
        <v>8</v>
      </c>
      <c r="H17" s="6" t="str">
        <f t="shared" si="2"/>
        <v>Medium</v>
      </c>
    </row>
    <row r="18" ht="21.0" customHeight="1">
      <c r="A18" s="7" t="s">
        <v>51</v>
      </c>
      <c r="B18" s="8" t="s">
        <v>52</v>
      </c>
      <c r="C18" s="8" t="s">
        <v>10</v>
      </c>
      <c r="D18" s="8" t="s">
        <v>11</v>
      </c>
      <c r="E18" s="9">
        <v>25.0</v>
      </c>
      <c r="F18" s="9">
        <v>9.0</v>
      </c>
      <c r="G18" s="10">
        <f t="shared" si="1"/>
        <v>16</v>
      </c>
      <c r="H18" s="11" t="str">
        <f t="shared" si="2"/>
        <v>Healthy</v>
      </c>
    </row>
  </sheetData>
  <conditionalFormatting sqref="H2:H18">
    <cfRule type="cellIs" dxfId="5" priority="1" stopIfTrue="1" operator="equal">
      <formula>"Low"</formula>
    </cfRule>
  </conditionalFormatting>
  <conditionalFormatting sqref="H2:H18">
    <cfRule type="cellIs" dxfId="6" priority="2" stopIfTrue="1" operator="equal">
      <formula>"Medium"</formula>
    </cfRule>
  </conditionalFormatting>
  <conditionalFormatting sqref="H2:H18">
    <cfRule type="cellIs" dxfId="7" priority="3" stopIfTrue="1" operator="equal">
      <formula>"Healthy"</formula>
    </cfRule>
  </conditionalFormatting>
  <dataValidations>
    <dataValidation type="custom" allowBlank="1" showDropDown="1" sqref="E2:G1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