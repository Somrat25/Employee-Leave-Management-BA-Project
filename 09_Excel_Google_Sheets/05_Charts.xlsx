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Leave_Data" sheetId="2" r:id="rId6"/>
    <sheet state="visible" name="Pivot_Department" sheetId="3" r:id="rId7"/>
    <sheet state="visible" name="Pivot_Leave_Type" sheetId="4" r:id="rId8"/>
    <sheet state="visible" name="Pivot_Monthly" sheetId="5" r:id="rId9"/>
  </sheets>
  <definedNames/>
  <calcPr/>
</workbook>
</file>

<file path=xl/sharedStrings.xml><?xml version="1.0" encoding="utf-8"?>
<sst xmlns="http://schemas.openxmlformats.org/spreadsheetml/2006/main" count="211" uniqueCount="87">
  <si>
    <t>Request_ID</t>
  </si>
  <si>
    <t>Employee_ID</t>
  </si>
  <si>
    <t>Employee_Name</t>
  </si>
  <si>
    <t>Department</t>
  </si>
  <si>
    <t>Manager</t>
  </si>
  <si>
    <t>Leave_Type</t>
  </si>
  <si>
    <t>Start_Date</t>
  </si>
  <si>
    <t>End_Date</t>
  </si>
  <si>
    <t>Requested_Days</t>
  </si>
  <si>
    <t>Reason</t>
  </si>
  <si>
    <t>Status</t>
  </si>
  <si>
    <t>Submitted_Date</t>
  </si>
  <si>
    <t>Duplicate_Check</t>
  </si>
  <si>
    <t>Data_Check</t>
  </si>
  <si>
    <t>Days_Check</t>
  </si>
  <si>
    <t>Month</t>
  </si>
  <si>
    <t>LR001</t>
  </si>
  <si>
    <t>E001</t>
  </si>
  <si>
    <t>Sarah Jenkins</t>
  </si>
  <si>
    <t>IT</t>
  </si>
  <si>
    <t>Marcus Vance</t>
  </si>
  <si>
    <t>Annual Leave</t>
  </si>
  <si>
    <t>Family vacation</t>
  </si>
  <si>
    <t>Pending</t>
  </si>
  <si>
    <t>OK</t>
  </si>
  <si>
    <t>Sep</t>
  </si>
  <si>
    <t>LR002</t>
  </si>
  <si>
    <t>E005</t>
  </si>
  <si>
    <t>Alex Morgan</t>
  </si>
  <si>
    <t>Personal travel</t>
  </si>
  <si>
    <t>Approved</t>
  </si>
  <si>
    <t>Oct</t>
  </si>
  <si>
    <t>LR003</t>
  </si>
  <si>
    <t>E006</t>
  </si>
  <si>
    <t>James Wilson</t>
  </si>
  <si>
    <t>Finance</t>
  </si>
  <si>
    <t>Daniel Kim</t>
  </si>
  <si>
    <t>Sick Leave</t>
  </si>
  <si>
    <t>Medical treatment</t>
  </si>
  <si>
    <t>LR004</t>
  </si>
  <si>
    <t>E007</t>
  </si>
  <si>
    <t>Olivia Brown</t>
  </si>
  <si>
    <t>Casual Leave</t>
  </si>
  <si>
    <t>Personal matter</t>
  </si>
  <si>
    <t>Rejected</t>
  </si>
  <si>
    <t>Count of Request_ID</t>
  </si>
  <si>
    <t>Sum of Requested_Days</t>
  </si>
  <si>
    <t>LR005</t>
  </si>
  <si>
    <t>Fever and rest</t>
  </si>
  <si>
    <t>Aug</t>
  </si>
  <si>
    <t>LR006</t>
  </si>
  <si>
    <t>HR</t>
  </si>
  <si>
    <t>Personal work</t>
  </si>
  <si>
    <t>Grand Total</t>
  </si>
  <si>
    <t>LR007</t>
  </si>
  <si>
    <t>Family trip</t>
  </si>
  <si>
    <t>Nov</t>
  </si>
  <si>
    <t>LR008</t>
  </si>
  <si>
    <t>Holiday</t>
  </si>
  <si>
    <t>Jul</t>
  </si>
  <si>
    <t>LR009</t>
  </si>
  <si>
    <t>E002</t>
  </si>
  <si>
    <t>None</t>
  </si>
  <si>
    <t>Personal vacation</t>
  </si>
  <si>
    <t>Jun</t>
  </si>
  <si>
    <t>LR010</t>
  </si>
  <si>
    <t>E008</t>
  </si>
  <si>
    <t>Medical rest</t>
  </si>
  <si>
    <t>May</t>
  </si>
  <si>
    <t>LR011</t>
  </si>
  <si>
    <t>E004</t>
  </si>
  <si>
    <t>David Sterling</t>
  </si>
  <si>
    <t>Elena Rostova</t>
  </si>
  <si>
    <t>Family event</t>
  </si>
  <si>
    <t>LR012</t>
  </si>
  <si>
    <t>E003</t>
  </si>
  <si>
    <t>LR013</t>
  </si>
  <si>
    <t>Personal appointment</t>
  </si>
  <si>
    <t>LR014</t>
  </si>
  <si>
    <t>Illness</t>
  </si>
  <si>
    <t>LR015</t>
  </si>
  <si>
    <t>ELMS Leave Management Dashboard</t>
  </si>
  <si>
    <t>Total Leave Requests</t>
  </si>
  <si>
    <t>Pending Requests</t>
  </si>
  <si>
    <t>Approved Requests</t>
  </si>
  <si>
    <t>Rejected Requests</t>
  </si>
  <si>
    <t>Total Leave 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</si>
</sst>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5">
    <font>
      <sz val="10.0"/>
      <color rgb="FF000000"/>
      <name val="Arial"/>
      <scheme val="minor"/>
    </font>
    <font>
      <b/>
      <color rgb="FFFFFFFF"/>
      <name val="Roboto"/>
    </font>
    <font>
      <color theme="1"/>
      <name val="Arial"/>
      <scheme val="minor"/>
    </font>
    <font>
      <b/>
      <sz val="16.0"/>
      <color rgb="FFFFFFFF"/>
      <name val="Roboto"/>
    </font>
    <font>
      <b/>
      <sz val="10.0"/>
      <color rgb="FF3F4C60"/>
      <name val="Roboto"/>
    </font>
    <font/>
    <font>
      <b/>
      <sz val="10.0"/>
      <color rgb="FF99600C"/>
      <name val="Roboto"/>
    </font>
    <font>
      <b/>
      <sz val="10.0"/>
      <color rgb="FF19723F"/>
      <name val="Roboto"/>
    </font>
    <font>
      <b/>
      <sz val="10.0"/>
      <color rgb="FFA52626"/>
      <name val="Roboto"/>
    </font>
    <font>
      <b/>
      <sz val="10.0"/>
      <color rgb="FF334C7A"/>
      <name val="Roboto"/>
    </font>
    <font>
      <b/>
      <sz val="18.0"/>
      <color rgb="FF1C355B"/>
      <name val="Roboto"/>
    </font>
    <font>
      <b/>
      <sz val="18.0"/>
      <color rgb="FFB7590A"/>
      <name val="Roboto"/>
    </font>
    <font>
      <b/>
      <sz val="18.0"/>
      <color rgb="FF147F3D"/>
      <name val="Roboto"/>
    </font>
    <font>
      <b/>
      <sz val="18.0"/>
      <color rgb="FFB71C1C"/>
      <name val="Roboto"/>
    </font>
    <font>
      <b/>
      <sz val="18.0"/>
      <color rgb="FF3F5E8E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EDF2F9"/>
        <bgColor rgb="FFEDF2F9"/>
      </patternFill>
    </fill>
    <fill>
      <patternFill patternType="solid">
        <fgColor rgb="FFFCF4E5"/>
        <bgColor rgb="FFFCF4E5"/>
      </patternFill>
    </fill>
    <fill>
      <patternFill patternType="solid">
        <fgColor rgb="FFEAF7ED"/>
        <bgColor rgb="FFEAF7ED"/>
      </patternFill>
    </fill>
    <fill>
      <patternFill patternType="solid">
        <fgColor rgb="FFFCEDED"/>
        <bgColor rgb="FFFCEDED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CCD3E0"/>
      </left>
      <top style="thin">
        <color rgb="FFCCD3E0"/>
      </top>
      <bottom style="thin">
        <color rgb="FFE0E5ED"/>
      </bottom>
    </border>
    <border>
      <right style="thin">
        <color rgb="FFCCD3E0"/>
      </right>
      <top style="thin">
        <color rgb="FFCCD3E0"/>
      </top>
      <bottom style="thin">
        <color rgb="FFE0E5ED"/>
      </bottom>
    </border>
    <border>
      <top style="thin">
        <color rgb="FFCCD3E0"/>
      </top>
      <bottom style="thin">
        <color rgb="FFE0E5ED"/>
      </bottom>
    </border>
    <border>
      <left style="thin">
        <color rgb="FFCCD3E0"/>
      </left>
      <top style="thin">
        <color rgb="FFE0E5ED"/>
      </top>
      <bottom style="thin">
        <color rgb="FFCCD3E0"/>
      </bottom>
    </border>
    <border>
      <right style="thin">
        <color rgb="FFCCD3E0"/>
      </right>
      <top style="thin">
        <color rgb="FFE0E5ED"/>
      </top>
      <bottom style="thin">
        <color rgb="FFCCD3E0"/>
      </bottom>
    </border>
    <border>
      <top style="thin">
        <color rgb="FFE0E5ED"/>
      </top>
      <bottom style="thin">
        <color rgb="FFCCD3E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2" fontId="3" numFmtId="0" xfId="0" applyAlignment="1" applyFill="1" applyFont="1">
      <alignment horizontal="center" readingOrder="0" vertical="center"/>
    </xf>
    <xf borderId="1" fillId="3" fontId="4" numFmtId="0" xfId="0" applyAlignment="1" applyBorder="1" applyFill="1" applyFont="1">
      <alignment horizontal="center" readingOrder="0" vertical="center"/>
    </xf>
    <xf borderId="2" fillId="0" fontId="5" numFmtId="0" xfId="0" applyBorder="1" applyFont="1"/>
    <xf borderId="1" fillId="4" fontId="6" numFmtId="0" xfId="0" applyAlignment="1" applyBorder="1" applyFill="1" applyFont="1">
      <alignment horizontal="center" readingOrder="0" vertical="center"/>
    </xf>
    <xf borderId="3" fillId="0" fontId="5" numFmtId="0" xfId="0" applyBorder="1" applyFont="1"/>
    <xf borderId="1" fillId="5" fontId="7" numFmtId="0" xfId="0" applyAlignment="1" applyBorder="1" applyFill="1" applyFont="1">
      <alignment horizontal="center" readingOrder="0" vertical="center"/>
    </xf>
    <xf borderId="1" fillId="6" fontId="8" numFmtId="0" xfId="0" applyAlignment="1" applyBorder="1" applyFill="1" applyFont="1">
      <alignment horizontal="center" readingOrder="0" vertical="center"/>
    </xf>
    <xf borderId="1" fillId="3" fontId="9" numFmtId="0" xfId="0" applyAlignment="1" applyBorder="1" applyFill="1" applyFont="1">
      <alignment horizontal="center" readingOrder="0" vertical="center"/>
    </xf>
    <xf borderId="4" fillId="7" fontId="10" numFmtId="0" xfId="0" applyAlignment="1" applyBorder="1" applyFill="1" applyFont="1">
      <alignment horizontal="center" vertical="center"/>
    </xf>
    <xf borderId="5" fillId="0" fontId="5" numFmtId="0" xfId="0" applyBorder="1" applyFont="1"/>
    <xf borderId="4" fillId="7" fontId="11" numFmtId="0" xfId="0" applyAlignment="1" applyBorder="1" applyFill="1" applyFont="1">
      <alignment horizontal="center" vertical="center"/>
    </xf>
    <xf borderId="6" fillId="0" fontId="5" numFmtId="0" xfId="0" applyBorder="1" applyFont="1"/>
    <xf borderId="4" fillId="7" fontId="12" numFmtId="0" xfId="0" applyAlignment="1" applyBorder="1" applyFill="1" applyFont="1">
      <alignment horizontal="center" vertical="center"/>
    </xf>
    <xf borderId="4" fillId="7" fontId="13" numFmtId="0" xfId="0" applyAlignment="1" applyBorder="1" applyFill="1" applyFont="1">
      <alignment horizontal="center" vertical="center"/>
    </xf>
    <xf borderId="4" fillId="7" fontId="14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Leave Requests by Department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Pivot_Department!$B$1</c:f>
            </c:strRef>
          </c:tx>
          <c:spPr>
            <a:solidFill>
              <a:srgbClr val="405F90"/>
            </a:solidFill>
            <a:ln cmpd="sng">
              <a:noFill/>
            </a:ln>
          </c:spPr>
          <c:invertIfNegative val="0"/>
          <c:cat>
            <c:strRef>
              <c:f>Pivot_Department!$A$2:$A$4</c:f>
            </c:strRef>
          </c:cat>
          <c:val>
            <c:numRef>
              <c:f>Pivot_Department!$B$2:$B$4</c:f>
              <c:numCache/>
            </c:numRef>
          </c:val>
        </c:ser>
        <c:axId val="1159861825"/>
        <c:axId val="1209971214"/>
      </c:barChart>
      <c:catAx>
        <c:axId val="11598618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9971214"/>
      </c:catAx>
      <c:valAx>
        <c:axId val="12099712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Requests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9861825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Leave Requests by Leave Type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Pivot_Leave_Type!$B$1</c:f>
            </c:strRef>
          </c:tx>
          <c:spPr>
            <a:solidFill>
              <a:srgbClr val="366E95"/>
            </a:solidFill>
            <a:ln cmpd="sng">
              <a:noFill/>
            </a:ln>
          </c:spPr>
          <c:invertIfNegative val="0"/>
          <c:cat>
            <c:strRef>
              <c:f>Pivot_Leave_Type!$A$2:$A$4</c:f>
            </c:strRef>
          </c:cat>
          <c:val>
            <c:numRef>
              <c:f>Pivot_Leave_Type!$B$2:$B$4</c:f>
              <c:numCache/>
            </c:numRef>
          </c:val>
        </c:ser>
        <c:axId val="2036209917"/>
        <c:axId val="2108198445"/>
      </c:barChart>
      <c:catAx>
        <c:axId val="203620991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Leave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8198445"/>
      </c:catAx>
      <c:valAx>
        <c:axId val="210819844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Requests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6209917"/>
        <c:crosses val="max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Leave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Pivot_Monthly!$B$1</c:f>
            </c:strRef>
          </c:tx>
          <c:spPr>
            <a:ln cmpd="sng">
              <a:solidFill>
                <a:srgbClr val="1B365D"/>
              </a:solidFill>
            </a:ln>
          </c:spPr>
          <c:marker>
            <c:symbol val="none"/>
          </c:marker>
          <c:cat>
            <c:strRef>
              <c:f>Pivot_Monthly!$A$2:$A$8</c:f>
            </c:strRef>
          </c:cat>
          <c:val>
            <c:numRef>
              <c:f>Pivot_Monthly!$B$2:$B$8</c:f>
              <c:numCache/>
            </c:numRef>
          </c:val>
          <c:smooth val="0"/>
        </c:ser>
        <c:axId val="130027493"/>
        <c:axId val="227851907"/>
      </c:lineChart>
      <c:catAx>
        <c:axId val="1300274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7851907"/>
      </c:catAx>
      <c:valAx>
        <c:axId val="2278519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Requested Days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027493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7</xdr:row>
      <xdr:rowOff>0</xdr:rowOff>
    </xdr:from>
    <xdr:ext cx="4572000" cy="2714625"/>
    <xdr:graphicFrame>
      <xdr:nvGraphicFramePr>
        <xdr:cNvPr id="1" name="Chart 1" title="Leave Requests by Departmen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7</xdr:row>
      <xdr:rowOff>0</xdr:rowOff>
    </xdr:from>
    <xdr:ext cx="4572000" cy="2714625"/>
    <xdr:graphicFrame>
      <xdr:nvGraphicFramePr>
        <xdr:cNvPr id="2" name="Chart 2" title="Leave Requests by Leave Typ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21</xdr:row>
      <xdr:rowOff>0</xdr:rowOff>
    </xdr:from>
    <xdr:ext cx="9286875" cy="2857500"/>
    <xdr:graphicFrame>
      <xdr:nvGraphicFramePr>
        <xdr:cNvPr id="3" name="Chart 3" title="Monthly Leave Tren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14" width="9.5"/>
  </cols>
  <sheetData>
    <row r="1" ht="15.0" customHeight="1"/>
    <row r="2" ht="36.0" customHeight="1">
      <c r="B2" s="5" t="s">
        <v>81</v>
      </c>
    </row>
    <row r="3" ht="10.5" customHeight="1"/>
    <row r="4" ht="21.0" customHeight="1">
      <c r="B4" s="6" t="s">
        <v>82</v>
      </c>
      <c r="C4" s="7"/>
      <c r="D4" s="8" t="s">
        <v>83</v>
      </c>
      <c r="E4" s="9"/>
      <c r="F4" s="7"/>
      <c r="G4" s="10" t="s">
        <v>84</v>
      </c>
      <c r="H4" s="9"/>
      <c r="I4" s="7"/>
      <c r="J4" s="11" t="s">
        <v>85</v>
      </c>
      <c r="K4" s="9"/>
      <c r="L4" s="7"/>
      <c r="M4" s="12" t="s">
        <v>86</v>
      </c>
      <c r="N4" s="7"/>
    </row>
    <row r="5" ht="31.5" customHeight="1">
      <c r="B5" s="13">
        <f>COUNTA(Leave_Data!A2:A16)</f>
        <v>15</v>
      </c>
      <c r="C5" s="14"/>
      <c r="D5" s="15">
        <f>COUNTIF(Leave_Data!K2:K16,"Pending")</f>
        <v>3</v>
      </c>
      <c r="E5" s="16"/>
      <c r="F5" s="14"/>
      <c r="G5" s="17">
        <f>COUNTIF(Leave_Data!K2:K16,"Approved")</f>
        <v>10</v>
      </c>
      <c r="H5" s="16"/>
      <c r="I5" s="14"/>
      <c r="J5" s="18">
        <f>COUNTIF(Leave_Data!K2:K16,"Rejected")</f>
        <v>2</v>
      </c>
      <c r="K5" s="16"/>
      <c r="L5" s="14"/>
      <c r="M5" s="19">
        <f>SUM(Leave_Data!I2:I16)</f>
        <v>34</v>
      </c>
      <c r="N5" s="14"/>
    </row>
  </sheetData>
  <mergeCells count="11">
    <mergeCell ref="D5:F5"/>
    <mergeCell ref="G5:I5"/>
    <mergeCell ref="J5:L5"/>
    <mergeCell ref="M5:N5"/>
    <mergeCell ref="B2:N2"/>
    <mergeCell ref="B4:C4"/>
    <mergeCell ref="D4:F4"/>
    <mergeCell ref="G4:I4"/>
    <mergeCell ref="J4:L4"/>
    <mergeCell ref="M4:N4"/>
    <mergeCell ref="B5:C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63"/>
    <col customWidth="1" min="2" max="2" width="10.75"/>
    <col customWidth="1" min="3" max="3" width="13.75"/>
    <col customWidth="1" min="4" max="4" width="10.0"/>
    <col customWidth="1" min="5" max="5" width="11.25"/>
    <col customWidth="1" min="6" max="6" width="10.63"/>
    <col customWidth="1" min="7" max="8" width="9.13"/>
    <col customWidth="1" min="9" max="9" width="13.63"/>
    <col customWidth="1" min="10" max="10" width="16.88"/>
    <col customWidth="1" min="11" max="11" width="7.88"/>
    <col customWidth="1" min="12" max="12" width="13.13"/>
    <col customWidth="1" min="13" max="13" width="13.75"/>
    <col customWidth="1" min="14" max="14" width="10.0"/>
    <col customWidth="1" min="15" max="15" width="10.25"/>
    <col customWidth="1" min="16" max="16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3">
        <v>46293.0</v>
      </c>
      <c r="H2" s="3">
        <v>46295.0</v>
      </c>
      <c r="I2" s="2">
        <v>3.0</v>
      </c>
      <c r="J2" s="2" t="s">
        <v>22</v>
      </c>
      <c r="K2" s="2" t="s">
        <v>23</v>
      </c>
      <c r="L2" s="3">
        <v>46285.0</v>
      </c>
      <c r="M2" s="2" t="s">
        <v>24</v>
      </c>
      <c r="N2" s="2" t="s">
        <v>24</v>
      </c>
      <c r="P2" s="2" t="s">
        <v>25</v>
      </c>
    </row>
    <row r="3">
      <c r="A3" s="2" t="s">
        <v>26</v>
      </c>
      <c r="B3" s="2" t="s">
        <v>27</v>
      </c>
      <c r="C3" s="2" t="s">
        <v>28</v>
      </c>
      <c r="D3" s="2" t="s">
        <v>19</v>
      </c>
      <c r="E3" s="2" t="s">
        <v>20</v>
      </c>
      <c r="F3" s="2" t="s">
        <v>21</v>
      </c>
      <c r="G3" s="3">
        <v>46300.0</v>
      </c>
      <c r="H3" s="3">
        <v>46302.0</v>
      </c>
      <c r="I3" s="2">
        <v>3.0</v>
      </c>
      <c r="J3" s="2" t="s">
        <v>29</v>
      </c>
      <c r="K3" s="2" t="s">
        <v>30</v>
      </c>
      <c r="L3" s="3">
        <v>46283.0</v>
      </c>
      <c r="M3" s="2" t="s">
        <v>24</v>
      </c>
      <c r="N3" s="2" t="s">
        <v>24</v>
      </c>
      <c r="P3" s="2" t="s">
        <v>31</v>
      </c>
    </row>
    <row r="4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3">
        <v>46280.0</v>
      </c>
      <c r="H4" s="3">
        <v>46281.0</v>
      </c>
      <c r="I4" s="2">
        <v>2.0</v>
      </c>
      <c r="J4" s="2" t="s">
        <v>38</v>
      </c>
      <c r="K4" s="2" t="s">
        <v>30</v>
      </c>
      <c r="L4" s="3">
        <v>46279.0</v>
      </c>
      <c r="M4" s="2" t="s">
        <v>24</v>
      </c>
      <c r="N4" s="2" t="s">
        <v>24</v>
      </c>
      <c r="P4" s="2" t="s">
        <v>25</v>
      </c>
    </row>
    <row r="5">
      <c r="A5" s="2" t="s">
        <v>39</v>
      </c>
      <c r="B5" s="2" t="s">
        <v>40</v>
      </c>
      <c r="C5" s="2" t="s">
        <v>41</v>
      </c>
      <c r="D5" s="2" t="s">
        <v>35</v>
      </c>
      <c r="E5" s="2" t="s">
        <v>36</v>
      </c>
      <c r="F5" s="2" t="s">
        <v>42</v>
      </c>
      <c r="G5" s="3">
        <v>46287.0</v>
      </c>
      <c r="H5" s="3">
        <v>46287.0</v>
      </c>
      <c r="I5" s="2">
        <v>1.0</v>
      </c>
      <c r="J5" s="2" t="s">
        <v>43</v>
      </c>
      <c r="K5" s="2" t="s">
        <v>44</v>
      </c>
      <c r="L5" s="3">
        <v>46283.0</v>
      </c>
      <c r="M5" s="2" t="s">
        <v>24</v>
      </c>
      <c r="N5" s="2" t="s">
        <v>24</v>
      </c>
      <c r="P5" s="2" t="s">
        <v>25</v>
      </c>
    </row>
    <row r="6">
      <c r="A6" s="2" t="s">
        <v>47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37</v>
      </c>
      <c r="G6" s="3">
        <v>46244.0</v>
      </c>
      <c r="H6" s="3">
        <v>46245.0</v>
      </c>
      <c r="I6" s="2">
        <v>2.0</v>
      </c>
      <c r="J6" s="2" t="s">
        <v>48</v>
      </c>
      <c r="K6" s="2" t="s">
        <v>30</v>
      </c>
      <c r="L6" s="3">
        <v>46243.0</v>
      </c>
      <c r="M6" s="2" t="s">
        <v>24</v>
      </c>
      <c r="N6" s="2" t="s">
        <v>24</v>
      </c>
      <c r="P6" s="2" t="s">
        <v>49</v>
      </c>
    </row>
    <row r="7">
      <c r="A7" s="2" t="s">
        <v>50</v>
      </c>
      <c r="B7" s="2" t="s">
        <v>27</v>
      </c>
      <c r="C7" s="2" t="s">
        <v>28</v>
      </c>
      <c r="D7" s="2" t="s">
        <v>19</v>
      </c>
      <c r="E7" s="2" t="s">
        <v>20</v>
      </c>
      <c r="F7" s="2" t="s">
        <v>42</v>
      </c>
      <c r="G7" s="3">
        <v>46254.0</v>
      </c>
      <c r="H7" s="3">
        <v>46254.0</v>
      </c>
      <c r="I7" s="2">
        <v>1.0</v>
      </c>
      <c r="J7" s="2" t="s">
        <v>52</v>
      </c>
      <c r="K7" s="2" t="s">
        <v>30</v>
      </c>
      <c r="L7" s="3">
        <v>46252.0</v>
      </c>
      <c r="M7" s="2" t="s">
        <v>24</v>
      </c>
      <c r="N7" s="2" t="s">
        <v>24</v>
      </c>
      <c r="P7" s="2" t="s">
        <v>49</v>
      </c>
    </row>
    <row r="8">
      <c r="A8" s="2" t="s">
        <v>54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21</v>
      </c>
      <c r="G8" s="3">
        <v>46328.0</v>
      </c>
      <c r="H8" s="3">
        <v>46331.0</v>
      </c>
      <c r="I8" s="2">
        <v>4.0</v>
      </c>
      <c r="J8" s="2" t="s">
        <v>55</v>
      </c>
      <c r="K8" s="2" t="s">
        <v>23</v>
      </c>
      <c r="L8" s="3">
        <v>46315.0</v>
      </c>
      <c r="M8" s="2" t="s">
        <v>24</v>
      </c>
      <c r="N8" s="2" t="s">
        <v>24</v>
      </c>
      <c r="P8" s="2" t="s">
        <v>56</v>
      </c>
    </row>
    <row r="9">
      <c r="A9" s="2" t="s">
        <v>57</v>
      </c>
      <c r="B9" s="2" t="s">
        <v>40</v>
      </c>
      <c r="C9" s="2" t="s">
        <v>41</v>
      </c>
      <c r="D9" s="2" t="s">
        <v>35</v>
      </c>
      <c r="E9" s="2" t="s">
        <v>36</v>
      </c>
      <c r="F9" s="2" t="s">
        <v>21</v>
      </c>
      <c r="G9" s="3">
        <v>46213.0</v>
      </c>
      <c r="H9" s="3">
        <v>46215.0</v>
      </c>
      <c r="I9" s="2">
        <v>3.0</v>
      </c>
      <c r="J9" s="2" t="s">
        <v>58</v>
      </c>
      <c r="K9" s="2" t="s">
        <v>30</v>
      </c>
      <c r="L9" s="3">
        <v>46204.0</v>
      </c>
      <c r="M9" s="2" t="s">
        <v>24</v>
      </c>
      <c r="N9" s="2" t="s">
        <v>24</v>
      </c>
      <c r="P9" s="2" t="s">
        <v>59</v>
      </c>
    </row>
    <row r="10">
      <c r="A10" s="2" t="s">
        <v>60</v>
      </c>
      <c r="B10" s="2" t="s">
        <v>61</v>
      </c>
      <c r="C10" s="2" t="s">
        <v>20</v>
      </c>
      <c r="D10" s="2" t="s">
        <v>19</v>
      </c>
      <c r="E10" s="2" t="s">
        <v>62</v>
      </c>
      <c r="F10" s="2" t="s">
        <v>21</v>
      </c>
      <c r="G10" s="3">
        <v>46188.0</v>
      </c>
      <c r="H10" s="3">
        <v>46192.0</v>
      </c>
      <c r="I10" s="2">
        <v>5.0</v>
      </c>
      <c r="J10" s="2" t="s">
        <v>63</v>
      </c>
      <c r="K10" s="2" t="s">
        <v>30</v>
      </c>
      <c r="L10" s="3">
        <v>46174.0</v>
      </c>
      <c r="M10" s="2" t="s">
        <v>24</v>
      </c>
      <c r="N10" s="2" t="s">
        <v>24</v>
      </c>
      <c r="P10" s="2" t="s">
        <v>64</v>
      </c>
    </row>
    <row r="11">
      <c r="A11" s="2" t="s">
        <v>65</v>
      </c>
      <c r="B11" s="2" t="s">
        <v>66</v>
      </c>
      <c r="C11" s="2" t="s">
        <v>36</v>
      </c>
      <c r="D11" s="2" t="s">
        <v>35</v>
      </c>
      <c r="E11" s="2" t="s">
        <v>62</v>
      </c>
      <c r="F11" s="2" t="s">
        <v>37</v>
      </c>
      <c r="G11" s="3">
        <v>46153.0</v>
      </c>
      <c r="H11" s="3">
        <v>46154.0</v>
      </c>
      <c r="I11" s="2">
        <v>2.0</v>
      </c>
      <c r="J11" s="2" t="s">
        <v>67</v>
      </c>
      <c r="K11" s="2" t="s">
        <v>30</v>
      </c>
      <c r="L11" s="3">
        <v>46151.0</v>
      </c>
      <c r="M11" s="2" t="s">
        <v>24</v>
      </c>
      <c r="N11" s="2" t="s">
        <v>24</v>
      </c>
      <c r="P11" s="2" t="s">
        <v>68</v>
      </c>
    </row>
    <row r="12">
      <c r="A12" s="2" t="s">
        <v>69</v>
      </c>
      <c r="B12" s="2" t="s">
        <v>70</v>
      </c>
      <c r="C12" s="2" t="s">
        <v>71</v>
      </c>
      <c r="D12" s="2" t="s">
        <v>51</v>
      </c>
      <c r="E12" s="2" t="s">
        <v>72</v>
      </c>
      <c r="F12" s="2" t="s">
        <v>21</v>
      </c>
      <c r="G12" s="3">
        <v>46237.0</v>
      </c>
      <c r="H12" s="3">
        <v>46239.0</v>
      </c>
      <c r="I12" s="2">
        <v>3.0</v>
      </c>
      <c r="J12" s="2" t="s">
        <v>73</v>
      </c>
      <c r="K12" s="2" t="s">
        <v>30</v>
      </c>
      <c r="L12" s="3">
        <v>46228.0</v>
      </c>
      <c r="M12" s="2" t="s">
        <v>24</v>
      </c>
      <c r="N12" s="2" t="s">
        <v>24</v>
      </c>
      <c r="P12" s="2" t="s">
        <v>49</v>
      </c>
    </row>
    <row r="13">
      <c r="A13" s="2" t="s">
        <v>74</v>
      </c>
      <c r="B13" s="2" t="s">
        <v>75</v>
      </c>
      <c r="C13" s="2" t="s">
        <v>72</v>
      </c>
      <c r="D13" s="2" t="s">
        <v>51</v>
      </c>
      <c r="E13" s="2" t="s">
        <v>62</v>
      </c>
      <c r="F13" s="2" t="s">
        <v>42</v>
      </c>
      <c r="G13" s="3">
        <v>46275.0</v>
      </c>
      <c r="H13" s="3">
        <v>46275.0</v>
      </c>
      <c r="I13" s="2">
        <v>1.0</v>
      </c>
      <c r="J13" s="2" t="s">
        <v>52</v>
      </c>
      <c r="K13" s="2" t="s">
        <v>30</v>
      </c>
      <c r="L13" s="3">
        <v>46270.0</v>
      </c>
      <c r="M13" s="2" t="s">
        <v>24</v>
      </c>
      <c r="N13" s="2" t="s">
        <v>24</v>
      </c>
      <c r="P13" s="2" t="s">
        <v>25</v>
      </c>
    </row>
    <row r="14">
      <c r="A14" s="2" t="s">
        <v>76</v>
      </c>
      <c r="B14" s="2" t="s">
        <v>17</v>
      </c>
      <c r="C14" s="2" t="s">
        <v>18</v>
      </c>
      <c r="D14" s="2" t="s">
        <v>19</v>
      </c>
      <c r="E14" s="2" t="s">
        <v>20</v>
      </c>
      <c r="F14" s="2" t="s">
        <v>42</v>
      </c>
      <c r="G14" s="3">
        <v>46310.0</v>
      </c>
      <c r="H14" s="3">
        <v>46310.0</v>
      </c>
      <c r="I14" s="2">
        <v>1.0</v>
      </c>
      <c r="J14" s="2" t="s">
        <v>77</v>
      </c>
      <c r="K14" s="2" t="s">
        <v>23</v>
      </c>
      <c r="L14" s="3">
        <v>46296.0</v>
      </c>
      <c r="M14" s="2" t="s">
        <v>24</v>
      </c>
      <c r="N14" s="2" t="s">
        <v>24</v>
      </c>
      <c r="P14" s="2" t="s">
        <v>31</v>
      </c>
    </row>
    <row r="15">
      <c r="A15" s="2" t="s">
        <v>78</v>
      </c>
      <c r="B15" s="2" t="s">
        <v>27</v>
      </c>
      <c r="C15" s="2" t="s">
        <v>28</v>
      </c>
      <c r="D15" s="2" t="s">
        <v>19</v>
      </c>
      <c r="E15" s="2" t="s">
        <v>20</v>
      </c>
      <c r="F15" s="2" t="s">
        <v>37</v>
      </c>
      <c r="G15" s="3">
        <v>46270.0</v>
      </c>
      <c r="H15" s="3">
        <v>46271.0</v>
      </c>
      <c r="I15" s="2">
        <v>2.0</v>
      </c>
      <c r="J15" s="2" t="s">
        <v>79</v>
      </c>
      <c r="K15" s="2" t="s">
        <v>30</v>
      </c>
      <c r="L15" s="3">
        <v>46269.0</v>
      </c>
      <c r="M15" s="2" t="s">
        <v>24</v>
      </c>
      <c r="N15" s="2" t="s">
        <v>24</v>
      </c>
      <c r="P15" s="2" t="s">
        <v>25</v>
      </c>
    </row>
    <row r="16">
      <c r="A16" s="2" t="s">
        <v>80</v>
      </c>
      <c r="B16" s="2" t="s">
        <v>33</v>
      </c>
      <c r="C16" s="2" t="s">
        <v>34</v>
      </c>
      <c r="D16" s="2" t="s">
        <v>35</v>
      </c>
      <c r="E16" s="2" t="s">
        <v>36</v>
      </c>
      <c r="F16" s="2" t="s">
        <v>42</v>
      </c>
      <c r="G16" s="3">
        <v>46307.0</v>
      </c>
      <c r="H16" s="3">
        <v>46307.0</v>
      </c>
      <c r="I16" s="2">
        <v>1.0</v>
      </c>
      <c r="J16" s="2" t="s">
        <v>43</v>
      </c>
      <c r="K16" s="2" t="s">
        <v>44</v>
      </c>
      <c r="L16" s="3">
        <v>46300.0</v>
      </c>
      <c r="M16" s="2" t="s">
        <v>24</v>
      </c>
      <c r="N16" s="2" t="s">
        <v>24</v>
      </c>
      <c r="P16" s="2" t="s">
        <v>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0"/>
    <col customWidth="1" min="2" max="2" width="16.5"/>
    <col customWidth="1" min="3" max="3" width="19.5"/>
  </cols>
  <sheetData>
    <row r="1">
      <c r="A1" s="4" t="s">
        <v>3</v>
      </c>
      <c r="B1" s="4" t="s">
        <v>45</v>
      </c>
      <c r="C1" s="4" t="s">
        <v>46</v>
      </c>
    </row>
    <row r="2">
      <c r="A2" s="2" t="s">
        <v>35</v>
      </c>
      <c r="B2" s="2">
        <v>6.0</v>
      </c>
      <c r="C2" s="2">
        <v>13.0</v>
      </c>
    </row>
    <row r="3">
      <c r="A3" s="2" t="s">
        <v>51</v>
      </c>
      <c r="B3" s="2">
        <v>2.0</v>
      </c>
      <c r="C3" s="2">
        <v>4.0</v>
      </c>
    </row>
    <row r="4">
      <c r="A4" s="2" t="s">
        <v>19</v>
      </c>
      <c r="B4" s="2">
        <v>7.0</v>
      </c>
      <c r="C4" s="2">
        <v>17.0</v>
      </c>
    </row>
    <row r="5">
      <c r="A5" s="2" t="s">
        <v>53</v>
      </c>
      <c r="B5" s="2">
        <v>15.0</v>
      </c>
      <c r="C5" s="2">
        <v>34.0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16.5"/>
    <col customWidth="1" min="3" max="3" width="19.5"/>
  </cols>
  <sheetData>
    <row r="1">
      <c r="A1" s="4" t="s">
        <v>5</v>
      </c>
      <c r="B1" s="4" t="s">
        <v>45</v>
      </c>
      <c r="C1" s="4" t="s">
        <v>46</v>
      </c>
    </row>
    <row r="2">
      <c r="A2" s="2" t="s">
        <v>21</v>
      </c>
      <c r="B2" s="2">
        <v>6.0</v>
      </c>
      <c r="C2" s="2">
        <v>21.0</v>
      </c>
    </row>
    <row r="3">
      <c r="A3" s="2" t="s">
        <v>42</v>
      </c>
      <c r="B3" s="2">
        <v>5.0</v>
      </c>
      <c r="C3" s="2">
        <v>5.0</v>
      </c>
    </row>
    <row r="4">
      <c r="A4" s="2" t="s">
        <v>37</v>
      </c>
      <c r="B4" s="2">
        <v>4.0</v>
      </c>
      <c r="C4" s="2">
        <v>8.0</v>
      </c>
    </row>
    <row r="5">
      <c r="A5" s="2" t="s">
        <v>53</v>
      </c>
      <c r="B5" s="2">
        <v>15.0</v>
      </c>
      <c r="C5" s="2">
        <v>34.0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19.5"/>
  </cols>
  <sheetData>
    <row r="1">
      <c r="A1" s="4" t="s">
        <v>15</v>
      </c>
      <c r="B1" s="4" t="s">
        <v>46</v>
      </c>
    </row>
    <row r="2">
      <c r="A2" s="2" t="s">
        <v>49</v>
      </c>
      <c r="B2" s="2">
        <v>6.0</v>
      </c>
    </row>
    <row r="3">
      <c r="A3" s="2" t="s">
        <v>59</v>
      </c>
      <c r="B3" s="2">
        <v>3.0</v>
      </c>
    </row>
    <row r="4">
      <c r="A4" s="2" t="s">
        <v>64</v>
      </c>
      <c r="B4" s="2">
        <v>5.0</v>
      </c>
    </row>
    <row r="5">
      <c r="A5" s="2" t="s">
        <v>68</v>
      </c>
      <c r="B5" s="2">
        <v>2.0</v>
      </c>
    </row>
    <row r="6">
      <c r="A6" s="2" t="s">
        <v>56</v>
      </c>
      <c r="B6" s="2">
        <v>4.0</v>
      </c>
    </row>
    <row r="7">
      <c r="A7" s="2" t="s">
        <v>31</v>
      </c>
      <c r="B7" s="2">
        <v>5.0</v>
      </c>
    </row>
    <row r="8">
      <c r="A8" s="2" t="s">
        <v>25</v>
      </c>
      <c r="B8" s="2">
        <v>9.0</v>
      </c>
    </row>
    <row r="9">
      <c r="A9" s="2" t="s">
        <v>53</v>
      </c>
      <c r="B9" s="2">
        <v>34.0</v>
      </c>
    </row>
  </sheetData>
  <drawing r:id="rId1"/>
</worksheet>
</file>