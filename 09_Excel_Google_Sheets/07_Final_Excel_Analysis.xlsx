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ed_Data" sheetId="2" r:id="rId6"/>
    <sheet state="visible" name="Leave_Balance" sheetId="3" r:id="rId7"/>
    <sheet state="visible" name="Pivot_Analysis" sheetId="4" r:id="rId8"/>
    <sheet state="visible" name="Dashboard" sheetId="5" r:id="rId9"/>
  </sheets>
  <definedNames/>
  <calcPr/>
</workbook>
</file>

<file path=xl/sharedStrings.xml><?xml version="1.0" encoding="utf-8"?>
<sst xmlns="http://schemas.openxmlformats.org/spreadsheetml/2006/main" count="442" uniqueCount="162">
  <si>
    <t>Department Analysis</t>
  </si>
  <si>
    <t>Employee ID</t>
  </si>
  <si>
    <t>Request_ID</t>
  </si>
  <si>
    <t>Employee Name</t>
  </si>
  <si>
    <t>Employee_ID</t>
  </si>
  <si>
    <t>Department</t>
  </si>
  <si>
    <t>Employee_Name</t>
  </si>
  <si>
    <t>Leave Type</t>
  </si>
  <si>
    <t>Total Leave</t>
  </si>
  <si>
    <t>Leave Taken</t>
  </si>
  <si>
    <t>Manager</t>
  </si>
  <si>
    <t>Leave Balance</t>
  </si>
  <si>
    <t>Leave_Type</t>
  </si>
  <si>
    <t>Start_Date</t>
  </si>
  <si>
    <t>Status</t>
  </si>
  <si>
    <t>End_Date</t>
  </si>
  <si>
    <t>Requested_Days</t>
  </si>
  <si>
    <t>Reason</t>
  </si>
  <si>
    <t>Submitted_Date</t>
  </si>
  <si>
    <t>EMP-101</t>
  </si>
  <si>
    <t>Duplicate_Check</t>
  </si>
  <si>
    <t>Data_Check</t>
  </si>
  <si>
    <t>Sarah Jenkins</t>
  </si>
  <si>
    <t>Days_Check</t>
  </si>
  <si>
    <t>Total Requests</t>
  </si>
  <si>
    <t>Human Resources</t>
  </si>
  <si>
    <t>Annual Leave</t>
  </si>
  <si>
    <t>Approved</t>
  </si>
  <si>
    <t>Pending</t>
  </si>
  <si>
    <t>Rejected</t>
  </si>
  <si>
    <t>Month</t>
  </si>
  <si>
    <t>Total Leave Days</t>
  </si>
  <si>
    <t>Approval Rate</t>
  </si>
  <si>
    <t>LR001</t>
  </si>
  <si>
    <t>Finance</t>
  </si>
  <si>
    <t>E001</t>
  </si>
  <si>
    <t>IT</t>
  </si>
  <si>
    <t>Marcus Vance</t>
  </si>
  <si>
    <t>Family vacation</t>
  </si>
  <si>
    <t>OK</t>
  </si>
  <si>
    <t>LR002</t>
  </si>
  <si>
    <t>E005</t>
  </si>
  <si>
    <t>Alex Morgan</t>
  </si>
  <si>
    <t>Personal travel</t>
  </si>
  <si>
    <t>EMP-102</t>
  </si>
  <si>
    <t>Michael Chang</t>
  </si>
  <si>
    <t>Engineering</t>
  </si>
  <si>
    <t>LR003</t>
  </si>
  <si>
    <t>E006</t>
  </si>
  <si>
    <t>James Wilson</t>
  </si>
  <si>
    <t>Daniel Kim</t>
  </si>
  <si>
    <t>Sick Leave</t>
  </si>
  <si>
    <t>EMP-103</t>
  </si>
  <si>
    <t>Ayesha Siddiqua</t>
  </si>
  <si>
    <t>Marketing</t>
  </si>
  <si>
    <t>Medical treatment</t>
  </si>
  <si>
    <t>LR004</t>
  </si>
  <si>
    <t>E007</t>
  </si>
  <si>
    <t>Olivia Brown</t>
  </si>
  <si>
    <t>EMP-104</t>
  </si>
  <si>
    <t>David Miller</t>
  </si>
  <si>
    <t>Casual Leave</t>
  </si>
  <si>
    <t>Personal matter</t>
  </si>
  <si>
    <t>EMP-105</t>
  </si>
  <si>
    <t>Rafiqul Islam</t>
  </si>
  <si>
    <t>Operations</t>
  </si>
  <si>
    <t>LR005</t>
  </si>
  <si>
    <t>EMP-106</t>
  </si>
  <si>
    <t>Fever and rest</t>
  </si>
  <si>
    <t>Jessica Taylor</t>
  </si>
  <si>
    <t>Product</t>
  </si>
  <si>
    <t>LR006</t>
  </si>
  <si>
    <t>EMP-107</t>
  </si>
  <si>
    <t>Tanvir Hasan</t>
  </si>
  <si>
    <t>Customer Support</t>
  </si>
  <si>
    <t>Personal work</t>
  </si>
  <si>
    <t>LR007</t>
  </si>
  <si>
    <t>EMP-108</t>
  </si>
  <si>
    <t>Emily Watson</t>
  </si>
  <si>
    <t>Family trip</t>
  </si>
  <si>
    <t>LR008</t>
  </si>
  <si>
    <t>EMP-109</t>
  </si>
  <si>
    <t>Tariq Mahmood</t>
  </si>
  <si>
    <t>Sales</t>
  </si>
  <si>
    <t>Holiday</t>
  </si>
  <si>
    <t>EMP-110</t>
  </si>
  <si>
    <t>Nusrat Jahan</t>
  </si>
  <si>
    <t>Quality Assurance</t>
  </si>
  <si>
    <t>HR</t>
  </si>
  <si>
    <t>LR009</t>
  </si>
  <si>
    <t>E002</t>
  </si>
  <si>
    <t>EMP-111</t>
  </si>
  <si>
    <t>None</t>
  </si>
  <si>
    <t>IT Support</t>
  </si>
  <si>
    <t>Personal vacation</t>
  </si>
  <si>
    <t>EMP-112</t>
  </si>
  <si>
    <t>Farhan Ahmed</t>
  </si>
  <si>
    <t>LR010</t>
  </si>
  <si>
    <t>E008</t>
  </si>
  <si>
    <t>EMP-113</t>
  </si>
  <si>
    <t>Samantha Brooks</t>
  </si>
  <si>
    <t>Medical rest</t>
  </si>
  <si>
    <t>EMP-114</t>
  </si>
  <si>
    <t>Kabir Hossain</t>
  </si>
  <si>
    <t>LR011</t>
  </si>
  <si>
    <t>E004</t>
  </si>
  <si>
    <t>David Sterling</t>
  </si>
  <si>
    <t>Elena Rostova</t>
  </si>
  <si>
    <t>EMP-115</t>
  </si>
  <si>
    <t>Olivia Chen</t>
  </si>
  <si>
    <t>Family event</t>
  </si>
  <si>
    <t>EMP-116</t>
  </si>
  <si>
    <t>LR012</t>
  </si>
  <si>
    <t>Mehedi Hasan</t>
  </si>
  <si>
    <t>E003</t>
  </si>
  <si>
    <t>EMP-117</t>
  </si>
  <si>
    <t>LR013</t>
  </si>
  <si>
    <t>Rachel Green</t>
  </si>
  <si>
    <t>Personal appointment</t>
  </si>
  <si>
    <t>LR014</t>
  </si>
  <si>
    <t>Illness</t>
  </si>
  <si>
    <t>LR015</t>
  </si>
  <si>
    <t>Grand Total</t>
  </si>
  <si>
    <t>Leave Type Analysis</t>
  </si>
  <si>
    <t>Count of Requests</t>
  </si>
  <si>
    <t>Sum of Leave Days</t>
  </si>
  <si>
    <t>% of Total Days</t>
  </si>
  <si>
    <t>Status Analysis</t>
  </si>
  <si>
    <t>% of Total Requests</t>
  </si>
  <si>
    <t>Monthly Trend</t>
  </si>
  <si>
    <t>Sum of Requested_Days</t>
  </si>
  <si>
    <t>May</t>
  </si>
  <si>
    <t>Jun</t>
  </si>
  <si>
    <t>Jul</t>
  </si>
  <si>
    <t>Aug</t>
  </si>
  <si>
    <t>Sep</t>
  </si>
  <si>
    <t>Oct</t>
  </si>
  <si>
    <t>Nov</t>
  </si>
  <si>
    <t>ELMS LEAVE MANAGEMENT DASHBOARD</t>
  </si>
  <si>
    <t>Executive Overview &amp; Workforce Leave Analytics</t>
  </si>
  <si>
    <t>Pending Requests</t>
  </si>
  <si>
    <t>Approved Requests</t>
  </si>
  <si>
    <t>Rejected Requests</t>
  </si>
  <si>
    <t>BA Portfolio — Final Business Insights</t>
  </si>
  <si>
    <t>Key Insight Focus</t>
  </si>
  <si>
    <t>Detailed Business Observation &amp; Analysis</t>
  </si>
  <si>
    <t>1. Request Volume</t>
  </si>
  <si>
    <t>1. The dataset contains 15 leave requests.</t>
  </si>
  <si>
    <t>2. Approval Trend</t>
  </si>
  <si>
    <t>2. Approved requests represent the majority of leave requests.</t>
  </si>
  <si>
    <t>3. Department Utilization</t>
  </si>
  <si>
    <t>3. IT and Finance departments have multiple leave requests and should be monitored for leave utilization.</t>
  </si>
  <si>
    <t>4. Major Leave Type</t>
  </si>
  <si>
    <t>4. Annual Leave is one of the major leave types used by employees.</t>
  </si>
  <si>
    <t>5. Balance Sensitivity</t>
  </si>
  <si>
    <t>5. Some employees have relatively lower remaining leave balances.</t>
  </si>
  <si>
    <t>6. Monthly Seasonality</t>
  </si>
  <si>
    <t>6. Monthly leave trends can help management identify periods with higher leave activity.</t>
  </si>
  <si>
    <t>7. Manager SLA Action</t>
  </si>
  <si>
    <t>7. Pending leave requests require manager action to avoid approval delays.</t>
  </si>
  <si>
    <t>8. Workforce Planning</t>
  </si>
  <si>
    <t>8. Leave data can support workforce planning and operational visibility.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</si>
</sst>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15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sz val="16.0"/>
      <color rgb="FFFFFFFF"/>
      <name val="Arial"/>
      <scheme val="minor"/>
    </font>
    <font>
      <i/>
      <sz val="10.0"/>
      <color rgb="FF26334C"/>
      <name val="Arial"/>
      <scheme val="minor"/>
    </font>
    <font/>
    <font>
      <b/>
      <sz val="20.0"/>
      <color theme="1"/>
      <name val="Arial"/>
      <scheme val="minor"/>
    </font>
    <font>
      <b/>
      <sz val="12.0"/>
      <color rgb="FFFFFFFF"/>
      <name val="Arial"/>
      <scheme val="minor"/>
    </font>
    <font>
      <b/>
      <sz val="10.0"/>
      <color rgb="FF19263F"/>
      <name val="Arial"/>
      <scheme val="minor"/>
    </font>
    <font>
      <b/>
      <sz val="9.0"/>
      <color rgb="FF26334C"/>
      <name val="Arial"/>
      <scheme val="minor"/>
    </font>
    <font>
      <sz val="9.0"/>
      <color rgb="FF191919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D6E2FF"/>
        <bgColor rgb="FFD6E2FF"/>
      </patternFill>
    </fill>
    <fill>
      <patternFill patternType="solid">
        <fgColor rgb="FFE5E8ED"/>
        <bgColor rgb="FFE5E8ED"/>
      </patternFill>
    </fill>
    <fill>
      <patternFill patternType="solid">
        <fgColor rgb="FFD8E2F8"/>
        <bgColor rgb="FFD8E2F8"/>
      </patternFill>
    </fill>
    <fill>
      <patternFill patternType="solid">
        <fgColor rgb="FFEFF4F9"/>
        <bgColor rgb="FFEFF4F9"/>
      </patternFill>
    </fill>
    <fill>
      <patternFill patternType="solid">
        <fgColor rgb="FFFFF7E0"/>
        <bgColor rgb="FFFFF7E0"/>
      </patternFill>
    </fill>
    <fill>
      <patternFill patternType="solid">
        <fgColor rgb="FFE8F4E8"/>
        <bgColor rgb="FFE8F4E8"/>
      </patternFill>
    </fill>
    <fill>
      <patternFill patternType="solid">
        <fgColor rgb="FFFFEAED"/>
        <bgColor rgb="FFFFEAED"/>
      </patternFill>
    </fill>
    <fill>
      <patternFill patternType="solid">
        <fgColor rgb="FFEDF2FF"/>
        <bgColor rgb="FFEDF2FF"/>
      </patternFill>
    </fill>
    <fill>
      <patternFill patternType="solid">
        <fgColor rgb="FFF7F9FF"/>
        <bgColor rgb="FFF7F9FF"/>
      </patternFill>
    </fill>
  </fills>
  <borders count="29">
    <border/>
    <border>
      <left style="thin">
        <color rgb="FFCCCCCC"/>
      </left>
      <right style="thin">
        <color rgb="FFE0E0E0"/>
      </right>
      <top style="thin">
        <color rgb="FFCCCCCC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CCCCCC"/>
      </top>
      <bottom style="thin">
        <color rgb="FFE0E0E0"/>
      </bottom>
    </border>
    <border>
      <left style="thin">
        <color rgb="FFE0E0E0"/>
      </left>
      <right style="thin">
        <color rgb="FFCCCCCC"/>
      </right>
      <top style="thin">
        <color rgb="FFCCCCCC"/>
      </top>
      <bottom style="thin">
        <color rgb="FFE0E0E0"/>
      </bottom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E0E0E0"/>
      </bottom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CCCCCC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CCCCCC"/>
      </bottom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B2B2B2"/>
      </left>
      <top style="thin">
        <color rgb="FFB2B2B2"/>
      </top>
      <bottom style="thin">
        <color rgb="FFD8D8D8"/>
      </bottom>
    </border>
    <border>
      <top style="thin">
        <color rgb="FFB2B2B2"/>
      </top>
      <bottom style="thin">
        <color rgb="FFD8D8D8"/>
      </bottom>
    </border>
    <border>
      <right style="thin">
        <color rgb="FFB2B2B2"/>
      </right>
      <top style="thin">
        <color rgb="FFB2B2B2"/>
      </top>
      <bottom style="thin">
        <color rgb="FFD8D8D8"/>
      </bottom>
    </border>
    <border>
      <left style="thin">
        <color rgb="FFB2B2B2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B2B2B2"/>
      </right>
      <top style="thin">
        <color rgb="FFD8D8D8"/>
      </top>
      <bottom style="thin">
        <color rgb="FFD8D8D8"/>
      </bottom>
    </border>
    <border>
      <left style="thin">
        <color rgb="FFB2B2B2"/>
      </left>
      <top style="thin">
        <color rgb="FFD8D8D8"/>
      </top>
      <bottom style="thin">
        <color rgb="FFB2B2B2"/>
      </bottom>
    </border>
    <border>
      <right style="thin">
        <color rgb="FFD8D8D8"/>
      </right>
      <top style="thin">
        <color rgb="FFD8D8D8"/>
      </top>
      <bottom style="thin">
        <color rgb="FFB2B2B2"/>
      </bottom>
    </border>
    <border>
      <left style="thin">
        <color rgb="FFD8D8D8"/>
      </left>
      <top style="thin">
        <color rgb="FFD8D8D8"/>
      </top>
      <bottom style="thin">
        <color rgb="FFB2B2B2"/>
      </bottom>
    </border>
    <border>
      <top style="thin">
        <color rgb="FFD8D8D8"/>
      </top>
      <bottom style="thin">
        <color rgb="FFB2B2B2"/>
      </bottom>
    </border>
    <border>
      <right style="thin">
        <color rgb="FFB2B2B2"/>
      </right>
      <top style="thin">
        <color rgb="FFD8D8D8"/>
      </top>
      <bottom style="thin">
        <color rgb="FFB2B2B2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0" fillId="2" fontId="1" numFmtId="0" xfId="0" applyFill="1" applyFont="1"/>
    <xf borderId="2" fillId="2" fontId="2" numFmtId="0" xfId="0" applyAlignment="1" applyBorder="1" applyFill="1" applyFont="1">
      <alignment horizontal="center" readingOrder="0" vertical="center"/>
    </xf>
    <xf borderId="3" fillId="2" fontId="2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horizontal="center" readingOrder="0"/>
    </xf>
    <xf borderId="1" fillId="3" fontId="4" numFmtId="0" xfId="0" applyAlignment="1" applyBorder="1" applyFill="1" applyFont="1">
      <alignment readingOrder="0"/>
    </xf>
    <xf borderId="5" fillId="0" fontId="3" numFmtId="0" xfId="0" applyAlignment="1" applyBorder="1" applyFont="1">
      <alignment readingOrder="0"/>
    </xf>
    <xf borderId="2" fillId="3" fontId="4" numFmtId="0" xfId="0" applyAlignment="1" applyBorder="1" applyFill="1" applyFont="1">
      <alignment readingOrder="0"/>
    </xf>
    <xf borderId="5" fillId="0" fontId="3" numFmtId="0" xfId="0" applyAlignment="1" applyBorder="1" applyFont="1">
      <alignment horizontal="right" readingOrder="0"/>
    </xf>
    <xf borderId="3" fillId="3" fontId="4" numFmtId="0" xfId="0" applyAlignment="1" applyBorder="1" applyFill="1" applyFont="1">
      <alignment readingOrder="0"/>
    </xf>
    <xf borderId="4" fillId="0" fontId="3" numFmtId="0" xfId="0" applyAlignment="1" applyBorder="1" applyFont="1">
      <alignment readingOrder="0"/>
    </xf>
    <xf borderId="0" fillId="0" fontId="5" numFmtId="0" xfId="0" applyAlignment="1" applyFont="1">
      <alignment horizontal="center" readingOrder="0" shrinkToFit="0" vertical="center" wrapText="0"/>
    </xf>
    <xf borderId="5" fillId="0" fontId="3" numFmtId="164" xfId="0" applyAlignment="1" applyBorder="1" applyFont="1" applyNumberFormat="1">
      <alignment readingOrder="0"/>
    </xf>
    <xf borderId="5" fillId="0" fontId="3" numFmtId="0" xfId="0" applyAlignment="1" applyBorder="1" applyFont="1">
      <alignment horizontal="right"/>
    </xf>
    <xf borderId="5" fillId="0" fontId="3" numFmtId="0" xfId="0" applyBorder="1" applyFont="1"/>
    <xf borderId="6" fillId="0" fontId="3" numFmtId="0" xfId="0" applyBorder="1" applyFont="1"/>
    <xf borderId="6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164" xfId="0" applyAlignment="1" applyBorder="1" applyFont="1" applyNumberForma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6" fillId="0" fontId="3" numFmtId="164" xfId="0" applyAlignment="1" applyBorder="1" applyFont="1" applyNumberFormat="1">
      <alignment readingOrder="0" shrinkToFit="0" vertical="center" wrapText="0"/>
    </xf>
    <xf borderId="6" fillId="0" fontId="3" numFmtId="165" xfId="0" applyBorder="1" applyFont="1" applyNumberFormat="1"/>
    <xf borderId="7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right" readingOrder="0"/>
    </xf>
    <xf borderId="8" fillId="0" fontId="3" numFmtId="0" xfId="0" applyAlignment="1" applyBorder="1" applyFont="1">
      <alignment horizontal="right"/>
    </xf>
    <xf borderId="9" fillId="0" fontId="3" numFmtId="0" xfId="0" applyAlignment="1" applyBorder="1" applyFont="1">
      <alignment horizontal="center"/>
    </xf>
    <xf borderId="7" fillId="0" fontId="3" numFmtId="0" xfId="0" applyAlignment="1" applyBorder="1" applyFont="1">
      <alignment readingOrder="0"/>
    </xf>
    <xf borderId="8" fillId="0" fontId="3" numFmtId="164" xfId="0" applyAlignment="1" applyBorder="1" applyFont="1" applyNumberFormat="1">
      <alignment readingOrder="0"/>
    </xf>
    <xf borderId="9" fillId="0" fontId="3" numFmtId="0" xfId="0" applyBorder="1" applyFont="1"/>
    <xf borderId="7" fillId="4" fontId="6" numFmtId="0" xfId="0" applyAlignment="1" applyBorder="1" applyFill="1" applyFont="1">
      <alignment readingOrder="0"/>
    </xf>
    <xf borderId="8" fillId="4" fontId="6" numFmtId="0" xfId="0" applyBorder="1" applyFill="1" applyFont="1"/>
    <xf borderId="9" fillId="4" fontId="6" numFmtId="165" xfId="0" applyBorder="1" applyFill="1" applyFont="1" applyNumberFormat="1"/>
    <xf borderId="5" fillId="0" fontId="3" numFmtId="165" xfId="0" applyBorder="1" applyFont="1" applyNumberFormat="1"/>
    <xf borderId="8" fillId="4" fontId="6" numFmtId="165" xfId="0" applyBorder="1" applyFill="1" applyFont="1" applyNumberFormat="1"/>
    <xf borderId="9" fillId="4" fontId="6" numFmtId="0" xfId="0" applyBorder="1" applyFill="1" applyFont="1"/>
    <xf borderId="7" fillId="0" fontId="3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8" fillId="0" fontId="3" numFmtId="164" xfId="0" applyAlignment="1" applyBorder="1" applyFont="1" applyNumberForma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0" fillId="2" fontId="7" numFmtId="0" xfId="0" applyAlignment="1" applyFill="1" applyFont="1">
      <alignment horizontal="center" readingOrder="0" vertical="center"/>
    </xf>
    <xf borderId="9" fillId="0" fontId="3" numFmtId="164" xfId="0" applyAlignment="1" applyBorder="1" applyFont="1" applyNumberFormat="1">
      <alignment readingOrder="0" shrinkToFit="0" vertical="center" wrapText="0"/>
    </xf>
    <xf borderId="0" fillId="5" fontId="8" numFmtId="0" xfId="0" applyAlignment="1" applyFill="1" applyFont="1">
      <alignment horizontal="center" readingOrder="0" vertical="center"/>
    </xf>
    <xf borderId="10" fillId="6" fontId="5" numFmtId="0" xfId="0" applyAlignment="1" applyBorder="1" applyFill="1" applyFont="1">
      <alignment horizontal="center" readingOrder="0" vertical="center"/>
    </xf>
    <xf borderId="11" fillId="0" fontId="9" numFmtId="0" xfId="0" applyBorder="1" applyFont="1"/>
    <xf borderId="12" fillId="0" fontId="9" numFmtId="0" xfId="0" applyBorder="1" applyFont="1"/>
    <xf borderId="10" fillId="7" fontId="5" numFmtId="0" xfId="0" applyAlignment="1" applyBorder="1" applyFill="1" applyFont="1">
      <alignment horizontal="center" readingOrder="0" vertical="center"/>
    </xf>
    <xf borderId="10" fillId="8" fontId="5" numFmtId="0" xfId="0" applyAlignment="1" applyBorder="1" applyFill="1" applyFont="1">
      <alignment horizontal="center" readingOrder="0" vertical="center"/>
    </xf>
    <xf borderId="10" fillId="9" fontId="5" numFmtId="0" xfId="0" applyAlignment="1" applyBorder="1" applyFill="1" applyFont="1">
      <alignment horizontal="center" readingOrder="0" vertical="center"/>
    </xf>
    <xf borderId="10" fillId="10" fontId="5" numFmtId="0" xfId="0" applyAlignment="1" applyBorder="1" applyFill="1" applyFont="1">
      <alignment horizontal="center" readingOrder="0" vertical="center"/>
    </xf>
    <xf borderId="13" fillId="6" fontId="10" numFmtId="0" xfId="0" applyAlignment="1" applyBorder="1" applyFill="1" applyFont="1">
      <alignment horizontal="center" vertical="center"/>
    </xf>
    <xf borderId="14" fillId="0" fontId="9" numFmtId="0" xfId="0" applyBorder="1" applyFont="1"/>
    <xf borderId="15" fillId="0" fontId="9" numFmtId="0" xfId="0" applyBorder="1" applyFont="1"/>
    <xf borderId="13" fillId="7" fontId="10" numFmtId="0" xfId="0" applyAlignment="1" applyBorder="1" applyFill="1" applyFont="1">
      <alignment horizontal="center" vertical="center"/>
    </xf>
    <xf borderId="13" fillId="8" fontId="10" numFmtId="0" xfId="0" applyAlignment="1" applyBorder="1" applyFill="1" applyFont="1">
      <alignment horizontal="center" vertical="center"/>
    </xf>
    <xf borderId="13" fillId="9" fontId="10" numFmtId="0" xfId="0" applyAlignment="1" applyBorder="1" applyFill="1" applyFont="1">
      <alignment horizontal="center" vertical="center"/>
    </xf>
    <xf borderId="13" fillId="10" fontId="10" numFmtId="0" xfId="0" applyAlignment="1" applyBorder="1" applyFill="1" applyFont="1">
      <alignment horizontal="center" vertical="center"/>
    </xf>
    <xf borderId="16" fillId="2" fontId="11" numFmtId="0" xfId="0" applyAlignment="1" applyBorder="1" applyFill="1" applyFont="1">
      <alignment horizontal="center" readingOrder="0" vertical="center"/>
    </xf>
    <xf borderId="17" fillId="0" fontId="9" numFmtId="0" xfId="0" applyBorder="1" applyFont="1"/>
    <xf borderId="18" fillId="0" fontId="9" numFmtId="0" xfId="0" applyBorder="1" applyFont="1"/>
    <xf borderId="19" fillId="3" fontId="12" numFmtId="0" xfId="0" applyAlignment="1" applyBorder="1" applyFill="1" applyFont="1">
      <alignment horizontal="left" readingOrder="0" vertical="center"/>
    </xf>
    <xf borderId="20" fillId="0" fontId="9" numFmtId="0" xfId="0" applyBorder="1" applyFont="1"/>
    <xf borderId="21" fillId="3" fontId="12" numFmtId="0" xfId="0" applyAlignment="1" applyBorder="1" applyFill="1" applyFont="1">
      <alignment horizontal="left" readingOrder="0" vertical="center"/>
    </xf>
    <xf borderId="22" fillId="0" fontId="9" numFmtId="0" xfId="0" applyBorder="1" applyFont="1"/>
    <xf borderId="23" fillId="0" fontId="9" numFmtId="0" xfId="0" applyBorder="1" applyFont="1"/>
    <xf borderId="19" fillId="11" fontId="13" numFmtId="0" xfId="0" applyAlignment="1" applyBorder="1" applyFill="1" applyFont="1">
      <alignment readingOrder="0" vertical="center"/>
    </xf>
    <xf borderId="21" fillId="11" fontId="14" numFmtId="0" xfId="0" applyAlignment="1" applyBorder="1" applyFill="1" applyFont="1">
      <alignment readingOrder="0" vertical="center"/>
    </xf>
    <xf borderId="19" fillId="0" fontId="13" numFmtId="0" xfId="0" applyAlignment="1" applyBorder="1" applyFont="1">
      <alignment readingOrder="0" vertical="center"/>
    </xf>
    <xf borderId="21" fillId="0" fontId="14" numFmtId="0" xfId="0" applyAlignment="1" applyBorder="1" applyFont="1">
      <alignment readingOrder="0" vertical="center"/>
    </xf>
    <xf borderId="24" fillId="0" fontId="13" numFmtId="0" xfId="0" applyAlignment="1" applyBorder="1" applyFont="1">
      <alignment readingOrder="0" vertical="center"/>
    </xf>
    <xf borderId="25" fillId="0" fontId="9" numFmtId="0" xfId="0" applyBorder="1" applyFont="1"/>
    <xf borderId="26" fillId="0" fontId="14" numFmtId="0" xfId="0" applyAlignment="1" applyBorder="1" applyFont="1">
      <alignment readingOrder="0" vertical="center"/>
    </xf>
    <xf borderId="27" fillId="0" fontId="9" numFmtId="0" xfId="0" applyBorder="1" applyFont="1"/>
    <xf borderId="28" fillId="0" fontId="9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Leave Requests by Department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Pivot_Analysis!$B$3</c:f>
            </c:strRef>
          </c:tx>
          <c:spPr>
            <a:solidFill>
              <a:srgbClr val="3F5E8E"/>
            </a:solidFill>
            <a:ln cmpd="sng">
              <a:noFill/>
            </a:ln>
          </c:spPr>
          <c:invertIfNegative val="0"/>
          <c:cat>
            <c:strRef>
              <c:f>Pivot_Analysis!$A$4:$A$6</c:f>
            </c:strRef>
          </c:cat>
          <c:val>
            <c:numRef>
              <c:f>Pivot_Analysis!$B$4:$B$6</c:f>
              <c:numCache/>
            </c:numRef>
          </c:val>
        </c:ser>
        <c:axId val="1427937687"/>
        <c:axId val="939083519"/>
      </c:barChart>
      <c:catAx>
        <c:axId val="1427937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083519"/>
      </c:catAx>
      <c:valAx>
        <c:axId val="9390835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93768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Leave Requests by Leave Type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Pivot_Analysis!$B$11</c:f>
            </c:strRef>
          </c:tx>
          <c:spPr>
            <a:solidFill>
              <a:srgbClr val="338C72"/>
            </a:solidFill>
            <a:ln cmpd="sng">
              <a:noFill/>
            </a:ln>
          </c:spPr>
          <c:invertIfNegative val="0"/>
          <c:cat>
            <c:strRef>
              <c:f>Pivot_Analysis!$A$12:$A$14</c:f>
            </c:strRef>
          </c:cat>
          <c:val>
            <c:numRef>
              <c:f>Pivot_Analysis!$B$12:$B$14</c:f>
              <c:numCache/>
            </c:numRef>
          </c:val>
        </c:ser>
        <c:axId val="940132357"/>
        <c:axId val="1031116359"/>
      </c:barChart>
      <c:catAx>
        <c:axId val="940132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1116359"/>
      </c:catAx>
      <c:valAx>
        <c:axId val="1031116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013235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Pivot_Analysis!$C$26</c:f>
            </c:strRef>
          </c:tx>
          <c:spPr>
            <a:ln cmpd="sng">
              <a:solidFill>
                <a:srgbClr val="D85933"/>
              </a:solidFill>
            </a:ln>
          </c:spPr>
          <c:marker>
            <c:symbol val="none"/>
          </c:marker>
          <c:cat>
            <c:strRef>
              <c:f>Pivot_Analysis!$A$27:$A$33</c:f>
            </c:strRef>
          </c:cat>
          <c:val>
            <c:numRef>
              <c:f>Pivot_Analysis!$C$27:$C$33</c:f>
              <c:numCache/>
            </c:numRef>
          </c:val>
          <c:smooth val="0"/>
        </c:ser>
        <c:axId val="830155196"/>
        <c:axId val="745368976"/>
      </c:lineChart>
      <c:catAx>
        <c:axId val="830155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5368976"/>
      </c:catAx>
      <c:valAx>
        <c:axId val="745368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155196"/>
      </c:valAx>
    </c:plotArea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95250</xdr:rowOff>
    </xdr:from>
    <xdr:ext cx="3429000" cy="2667000"/>
    <xdr:graphicFrame>
      <xdr:nvGraphicFramePr>
        <xdr:cNvPr id="1" name="Chart 1" title="Leave Requests by Departme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7</xdr:row>
      <xdr:rowOff>95250</xdr:rowOff>
    </xdr:from>
    <xdr:ext cx="3429000" cy="2667000"/>
    <xdr:graphicFrame>
      <xdr:nvGraphicFramePr>
        <xdr:cNvPr id="2" name="Chart 2" title="Leave Requests by Leave Typ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7</xdr:row>
      <xdr:rowOff>95250</xdr:rowOff>
    </xdr:from>
    <xdr:ext cx="3429000" cy="2667000"/>
    <xdr:graphicFrame>
      <xdr:nvGraphicFramePr>
        <xdr:cNvPr id="3" name="Chart 3" title="Monthly Tren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6" displayName="Leave_Requests" name="Leave_Requests" id="1">
  <tableColumns count="12">
    <tableColumn name="Request_ID" id="1"/>
    <tableColumn name="Employee_ID" id="2"/>
    <tableColumn name="Employee_Name" id="3"/>
    <tableColumn name="Department" id="4"/>
    <tableColumn name="Manager" id="5"/>
    <tableColumn name="Leave_Type" id="6"/>
    <tableColumn name="Start_Date" id="7"/>
    <tableColumn name="End_Date" id="8"/>
    <tableColumn name="Requested_Days" id="9"/>
    <tableColumn name="Reason" id="10"/>
    <tableColumn name="Status" id="11"/>
    <tableColumn name="Submitted_Date" id="12"/>
  </tableColumns>
  <tableStyleInfo name="Raw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5.13"/>
    <col customWidth="1" min="3" max="3" width="18.0"/>
    <col customWidth="1" min="4" max="4" width="17.63"/>
    <col customWidth="1" min="5" max="5" width="16.5"/>
    <col customWidth="1" min="6" max="6" width="17.5"/>
    <col customWidth="1" min="7" max="7" width="16.63"/>
    <col customWidth="1" min="8" max="8" width="15.75"/>
    <col customWidth="1" min="9" max="9" width="21.13"/>
    <col customWidth="1" min="10" max="10" width="18.63"/>
    <col customWidth="1" min="11" max="11" width="13.63"/>
    <col customWidth="1" min="12" max="12" width="20.63"/>
  </cols>
  <sheetData>
    <row r="1" ht="22.5" customHeight="1">
      <c r="A1" s="13" t="s">
        <v>2</v>
      </c>
      <c r="B1" s="13" t="s">
        <v>4</v>
      </c>
      <c r="C1" s="13" t="s">
        <v>6</v>
      </c>
      <c r="D1" s="13" t="s">
        <v>5</v>
      </c>
      <c r="E1" s="13" t="s">
        <v>10</v>
      </c>
      <c r="F1" s="13" t="s">
        <v>12</v>
      </c>
      <c r="G1" s="13" t="s">
        <v>13</v>
      </c>
      <c r="H1" s="13" t="s">
        <v>15</v>
      </c>
      <c r="I1" s="13" t="s">
        <v>16</v>
      </c>
      <c r="J1" s="13" t="s">
        <v>17</v>
      </c>
      <c r="K1" s="13" t="s">
        <v>14</v>
      </c>
      <c r="L1" s="13" t="s">
        <v>18</v>
      </c>
    </row>
    <row r="2" ht="22.5" customHeight="1">
      <c r="A2" s="19" t="s">
        <v>33</v>
      </c>
      <c r="B2" s="20" t="s">
        <v>35</v>
      </c>
      <c r="C2" s="20" t="s">
        <v>22</v>
      </c>
      <c r="D2" s="21" t="s">
        <v>36</v>
      </c>
      <c r="E2" s="21" t="s">
        <v>37</v>
      </c>
      <c r="F2" s="21" t="s">
        <v>26</v>
      </c>
      <c r="G2" s="22">
        <v>46293.0</v>
      </c>
      <c r="H2" s="22">
        <v>46295.0</v>
      </c>
      <c r="I2" s="23">
        <v>3.0</v>
      </c>
      <c r="J2" s="20" t="s">
        <v>38</v>
      </c>
      <c r="K2" s="21" t="s">
        <v>28</v>
      </c>
      <c r="L2" s="24">
        <v>46285.0</v>
      </c>
    </row>
    <row r="3" ht="22.5" customHeight="1">
      <c r="A3" s="19" t="s">
        <v>40</v>
      </c>
      <c r="B3" s="20" t="s">
        <v>41</v>
      </c>
      <c r="C3" s="20" t="s">
        <v>42</v>
      </c>
      <c r="D3" s="21" t="s">
        <v>36</v>
      </c>
      <c r="E3" s="21" t="s">
        <v>37</v>
      </c>
      <c r="F3" s="21" t="s">
        <v>26</v>
      </c>
      <c r="G3" s="22">
        <v>46300.0</v>
      </c>
      <c r="H3" s="22">
        <v>46302.0</v>
      </c>
      <c r="I3" s="23">
        <v>3.0</v>
      </c>
      <c r="J3" s="20" t="s">
        <v>43</v>
      </c>
      <c r="K3" s="21" t="s">
        <v>27</v>
      </c>
      <c r="L3" s="24">
        <v>46283.0</v>
      </c>
    </row>
    <row r="4" ht="22.5" customHeight="1">
      <c r="A4" s="19" t="s">
        <v>47</v>
      </c>
      <c r="B4" s="20" t="s">
        <v>48</v>
      </c>
      <c r="C4" s="20" t="s">
        <v>49</v>
      </c>
      <c r="D4" s="21" t="s">
        <v>34</v>
      </c>
      <c r="E4" s="21" t="s">
        <v>50</v>
      </c>
      <c r="F4" s="21" t="s">
        <v>51</v>
      </c>
      <c r="G4" s="22">
        <v>46280.0</v>
      </c>
      <c r="H4" s="22">
        <v>46281.0</v>
      </c>
      <c r="I4" s="23">
        <v>2.0</v>
      </c>
      <c r="J4" s="20" t="s">
        <v>55</v>
      </c>
      <c r="K4" s="21" t="s">
        <v>27</v>
      </c>
      <c r="L4" s="24">
        <v>46279.0</v>
      </c>
    </row>
    <row r="5" ht="22.5" customHeight="1">
      <c r="A5" s="19" t="s">
        <v>56</v>
      </c>
      <c r="B5" s="20" t="s">
        <v>57</v>
      </c>
      <c r="C5" s="20" t="s">
        <v>58</v>
      </c>
      <c r="D5" s="21" t="s">
        <v>34</v>
      </c>
      <c r="E5" s="21" t="s">
        <v>50</v>
      </c>
      <c r="F5" s="21" t="s">
        <v>61</v>
      </c>
      <c r="G5" s="22">
        <v>46287.0</v>
      </c>
      <c r="H5" s="22">
        <v>46287.0</v>
      </c>
      <c r="I5" s="23">
        <v>1.0</v>
      </c>
      <c r="J5" s="20" t="s">
        <v>62</v>
      </c>
      <c r="K5" s="21" t="s">
        <v>29</v>
      </c>
      <c r="L5" s="24">
        <v>46283.0</v>
      </c>
    </row>
    <row r="6" ht="22.5" customHeight="1">
      <c r="A6" s="19" t="s">
        <v>66</v>
      </c>
      <c r="B6" s="20" t="s">
        <v>35</v>
      </c>
      <c r="C6" s="20" t="s">
        <v>22</v>
      </c>
      <c r="D6" s="21" t="s">
        <v>36</v>
      </c>
      <c r="E6" s="21" t="s">
        <v>37</v>
      </c>
      <c r="F6" s="21" t="s">
        <v>51</v>
      </c>
      <c r="G6" s="22">
        <v>46244.0</v>
      </c>
      <c r="H6" s="22">
        <v>46245.0</v>
      </c>
      <c r="I6" s="23">
        <v>2.0</v>
      </c>
      <c r="J6" s="20" t="s">
        <v>68</v>
      </c>
      <c r="K6" s="21" t="s">
        <v>27</v>
      </c>
      <c r="L6" s="24">
        <v>46243.0</v>
      </c>
    </row>
    <row r="7" ht="22.5" customHeight="1">
      <c r="A7" s="19" t="s">
        <v>71</v>
      </c>
      <c r="B7" s="20" t="s">
        <v>41</v>
      </c>
      <c r="C7" s="20" t="s">
        <v>42</v>
      </c>
      <c r="D7" s="21" t="s">
        <v>36</v>
      </c>
      <c r="E7" s="21" t="s">
        <v>37</v>
      </c>
      <c r="F7" s="21" t="s">
        <v>61</v>
      </c>
      <c r="G7" s="22">
        <v>46254.0</v>
      </c>
      <c r="H7" s="22">
        <v>46254.0</v>
      </c>
      <c r="I7" s="23">
        <v>1.0</v>
      </c>
      <c r="J7" s="20" t="s">
        <v>75</v>
      </c>
      <c r="K7" s="21" t="s">
        <v>27</v>
      </c>
      <c r="L7" s="24">
        <v>46252.0</v>
      </c>
    </row>
    <row r="8" ht="22.5" customHeight="1">
      <c r="A8" s="19" t="s">
        <v>76</v>
      </c>
      <c r="B8" s="20" t="s">
        <v>48</v>
      </c>
      <c r="C8" s="20" t="s">
        <v>49</v>
      </c>
      <c r="D8" s="21" t="s">
        <v>34</v>
      </c>
      <c r="E8" s="21" t="s">
        <v>50</v>
      </c>
      <c r="F8" s="21" t="s">
        <v>26</v>
      </c>
      <c r="G8" s="22">
        <v>46328.0</v>
      </c>
      <c r="H8" s="22">
        <v>46331.0</v>
      </c>
      <c r="I8" s="23">
        <v>4.0</v>
      </c>
      <c r="J8" s="20" t="s">
        <v>79</v>
      </c>
      <c r="K8" s="21" t="s">
        <v>28</v>
      </c>
      <c r="L8" s="24">
        <v>46315.0</v>
      </c>
    </row>
    <row r="9" ht="22.5" customHeight="1">
      <c r="A9" s="19" t="s">
        <v>80</v>
      </c>
      <c r="B9" s="20" t="s">
        <v>57</v>
      </c>
      <c r="C9" s="20" t="s">
        <v>58</v>
      </c>
      <c r="D9" s="21" t="s">
        <v>34</v>
      </c>
      <c r="E9" s="21" t="s">
        <v>50</v>
      </c>
      <c r="F9" s="21" t="s">
        <v>26</v>
      </c>
      <c r="G9" s="22">
        <v>46213.0</v>
      </c>
      <c r="H9" s="22">
        <v>46215.0</v>
      </c>
      <c r="I9" s="23">
        <v>3.0</v>
      </c>
      <c r="J9" s="20" t="s">
        <v>84</v>
      </c>
      <c r="K9" s="21" t="s">
        <v>27</v>
      </c>
      <c r="L9" s="24">
        <v>46204.0</v>
      </c>
    </row>
    <row r="10" ht="22.5" customHeight="1">
      <c r="A10" s="19" t="s">
        <v>89</v>
      </c>
      <c r="B10" s="20" t="s">
        <v>90</v>
      </c>
      <c r="C10" s="20" t="s">
        <v>37</v>
      </c>
      <c r="D10" s="21" t="s">
        <v>36</v>
      </c>
      <c r="E10" s="21" t="s">
        <v>92</v>
      </c>
      <c r="F10" s="21" t="s">
        <v>26</v>
      </c>
      <c r="G10" s="22">
        <v>46188.0</v>
      </c>
      <c r="H10" s="22">
        <v>46192.0</v>
      </c>
      <c r="I10" s="23">
        <v>5.0</v>
      </c>
      <c r="J10" s="20" t="s">
        <v>94</v>
      </c>
      <c r="K10" s="21" t="s">
        <v>27</v>
      </c>
      <c r="L10" s="24">
        <v>46174.0</v>
      </c>
    </row>
    <row r="11" ht="22.5" customHeight="1">
      <c r="A11" s="19" t="s">
        <v>97</v>
      </c>
      <c r="B11" s="20" t="s">
        <v>98</v>
      </c>
      <c r="C11" s="20" t="s">
        <v>50</v>
      </c>
      <c r="D11" s="21" t="s">
        <v>34</v>
      </c>
      <c r="E11" s="21" t="s">
        <v>92</v>
      </c>
      <c r="F11" s="21" t="s">
        <v>51</v>
      </c>
      <c r="G11" s="22">
        <v>46153.0</v>
      </c>
      <c r="H11" s="22">
        <v>46154.0</v>
      </c>
      <c r="I11" s="23">
        <v>2.0</v>
      </c>
      <c r="J11" s="20" t="s">
        <v>101</v>
      </c>
      <c r="K11" s="21" t="s">
        <v>27</v>
      </c>
      <c r="L11" s="24">
        <v>46151.0</v>
      </c>
    </row>
    <row r="12" ht="22.5" customHeight="1">
      <c r="A12" s="19" t="s">
        <v>104</v>
      </c>
      <c r="B12" s="20" t="s">
        <v>105</v>
      </c>
      <c r="C12" s="20" t="s">
        <v>106</v>
      </c>
      <c r="D12" s="21" t="s">
        <v>88</v>
      </c>
      <c r="E12" s="21" t="s">
        <v>107</v>
      </c>
      <c r="F12" s="21" t="s">
        <v>26</v>
      </c>
      <c r="G12" s="22">
        <v>46237.0</v>
      </c>
      <c r="H12" s="22">
        <v>46239.0</v>
      </c>
      <c r="I12" s="23">
        <v>3.0</v>
      </c>
      <c r="J12" s="20" t="s">
        <v>110</v>
      </c>
      <c r="K12" s="21" t="s">
        <v>27</v>
      </c>
      <c r="L12" s="24">
        <v>46228.0</v>
      </c>
    </row>
    <row r="13" ht="22.5" customHeight="1">
      <c r="A13" s="19" t="s">
        <v>112</v>
      </c>
      <c r="B13" s="20" t="s">
        <v>114</v>
      </c>
      <c r="C13" s="20" t="s">
        <v>107</v>
      </c>
      <c r="D13" s="21" t="s">
        <v>88</v>
      </c>
      <c r="E13" s="21" t="s">
        <v>92</v>
      </c>
      <c r="F13" s="21" t="s">
        <v>61</v>
      </c>
      <c r="G13" s="22">
        <v>46275.0</v>
      </c>
      <c r="H13" s="22">
        <v>46275.0</v>
      </c>
      <c r="I13" s="23">
        <v>1.0</v>
      </c>
      <c r="J13" s="20" t="s">
        <v>75</v>
      </c>
      <c r="K13" s="21" t="s">
        <v>27</v>
      </c>
      <c r="L13" s="24">
        <v>46270.0</v>
      </c>
    </row>
    <row r="14" ht="22.5" customHeight="1">
      <c r="A14" s="19" t="s">
        <v>116</v>
      </c>
      <c r="B14" s="20" t="s">
        <v>35</v>
      </c>
      <c r="C14" s="20" t="s">
        <v>22</v>
      </c>
      <c r="D14" s="21" t="s">
        <v>36</v>
      </c>
      <c r="E14" s="21" t="s">
        <v>37</v>
      </c>
      <c r="F14" s="21" t="s">
        <v>61</v>
      </c>
      <c r="G14" s="22">
        <v>46310.0</v>
      </c>
      <c r="H14" s="22">
        <v>46310.0</v>
      </c>
      <c r="I14" s="23">
        <v>1.0</v>
      </c>
      <c r="J14" s="20" t="s">
        <v>118</v>
      </c>
      <c r="K14" s="21" t="s">
        <v>28</v>
      </c>
      <c r="L14" s="24">
        <v>46296.0</v>
      </c>
    </row>
    <row r="15" ht="22.5" customHeight="1">
      <c r="A15" s="19" t="s">
        <v>119</v>
      </c>
      <c r="B15" s="20" t="s">
        <v>41</v>
      </c>
      <c r="C15" s="20" t="s">
        <v>42</v>
      </c>
      <c r="D15" s="21" t="s">
        <v>36</v>
      </c>
      <c r="E15" s="21" t="s">
        <v>37</v>
      </c>
      <c r="F15" s="21" t="s">
        <v>51</v>
      </c>
      <c r="G15" s="22">
        <v>46270.0</v>
      </c>
      <c r="H15" s="22">
        <v>46271.0</v>
      </c>
      <c r="I15" s="23">
        <v>2.0</v>
      </c>
      <c r="J15" s="20" t="s">
        <v>120</v>
      </c>
      <c r="K15" s="21" t="s">
        <v>27</v>
      </c>
      <c r="L15" s="24">
        <v>46269.0</v>
      </c>
    </row>
    <row r="16" ht="22.5" customHeight="1">
      <c r="A16" s="40" t="s">
        <v>121</v>
      </c>
      <c r="B16" s="41" t="s">
        <v>48</v>
      </c>
      <c r="C16" s="41" t="s">
        <v>49</v>
      </c>
      <c r="D16" s="42" t="s">
        <v>34</v>
      </c>
      <c r="E16" s="42" t="s">
        <v>50</v>
      </c>
      <c r="F16" s="42" t="s">
        <v>61</v>
      </c>
      <c r="G16" s="43">
        <v>46307.0</v>
      </c>
      <c r="H16" s="43">
        <v>46307.0</v>
      </c>
      <c r="I16" s="44">
        <v>1.0</v>
      </c>
      <c r="J16" s="41" t="s">
        <v>62</v>
      </c>
      <c r="K16" s="42" t="s">
        <v>29</v>
      </c>
      <c r="L16" s="46">
        <v>46300.0</v>
      </c>
    </row>
  </sheetData>
  <dataValidations>
    <dataValidation type="list" allowBlank="1" showDropDown="1" showErrorMessage="1" sqref="D2:D16">
      <formula1>"IT,Finance,HR"</formula1>
    </dataValidation>
    <dataValidation type="list" allowBlank="1" showDropDown="1" showErrorMessage="1" sqref="F2:F16">
      <formula1>"Annual Leave,Sick Leave,Casual Leave"</formula1>
    </dataValidation>
    <dataValidation type="custom" allowBlank="1" showDropDown="1" sqref="G2:H16 L2:L16">
      <formula1>OR(NOT(ISERROR(DATEVALUE(G2))), AND(ISNUMBER(G2), LEFT(CELL("format", G2))="D"))</formula1>
    </dataValidation>
    <dataValidation type="custom" allowBlank="1" showDropDown="1" sqref="I2:I16">
      <formula1>AND(ISNUMBER(I2),(NOT(OR(NOT(ISERROR(DATEVALUE(I2))), AND(ISNUMBER(I2), LEFT(CELL("format", I2))="D")))))</formula1>
    </dataValidation>
    <dataValidation type="list" allowBlank="1" showDropDown="1" showErrorMessage="1" sqref="K2:K16">
      <formula1>"Pending,Approved,Rejected"</formula1>
    </dataValidation>
    <dataValidation type="list" allowBlank="1" showDropDown="1" showErrorMessage="1" sqref="E2:E16">
      <formula1>"Marcus Vance,Daniel Kim,None,Elena Rostova"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10.38"/>
    <col customWidth="1" min="3" max="3" width="13.13"/>
    <col customWidth="1" min="4" max="4" width="9.63"/>
    <col customWidth="1" min="5" max="5" width="11.25"/>
    <col customWidth="1" min="6" max="6" width="10.63"/>
    <col customWidth="1" min="7" max="8" width="9.13"/>
    <col customWidth="1" min="9" max="9" width="13.0"/>
    <col customWidth="1" min="10" max="10" width="16.88"/>
    <col customWidth="1" min="11" max="11" width="7.88"/>
    <col customWidth="1" min="12" max="12" width="12.63"/>
    <col customWidth="1" min="13" max="13" width="13.13"/>
    <col customWidth="1" min="14" max="14" width="9.63"/>
    <col customWidth="1" min="15" max="15" width="9.75"/>
    <col customWidth="1" min="16" max="16" width="5.63"/>
  </cols>
  <sheetData>
    <row r="1">
      <c r="A1" s="2" t="s">
        <v>2</v>
      </c>
      <c r="B1" s="4" t="s">
        <v>4</v>
      </c>
      <c r="C1" s="4" t="s">
        <v>6</v>
      </c>
      <c r="D1" s="4" t="s">
        <v>5</v>
      </c>
      <c r="E1" s="4" t="s">
        <v>10</v>
      </c>
      <c r="F1" s="4" t="s">
        <v>12</v>
      </c>
      <c r="G1" s="4" t="s">
        <v>13</v>
      </c>
      <c r="H1" s="4" t="s">
        <v>15</v>
      </c>
      <c r="I1" s="4" t="s">
        <v>16</v>
      </c>
      <c r="J1" s="4" t="s">
        <v>17</v>
      </c>
      <c r="K1" s="4" t="s">
        <v>14</v>
      </c>
      <c r="L1" s="4" t="s">
        <v>18</v>
      </c>
      <c r="M1" s="4" t="s">
        <v>20</v>
      </c>
      <c r="N1" s="4" t="s">
        <v>21</v>
      </c>
      <c r="O1" s="4" t="s">
        <v>23</v>
      </c>
      <c r="P1" s="5" t="s">
        <v>30</v>
      </c>
    </row>
    <row r="2">
      <c r="A2" s="12" t="s">
        <v>33</v>
      </c>
      <c r="B2" s="8" t="s">
        <v>35</v>
      </c>
      <c r="C2" s="8" t="s">
        <v>22</v>
      </c>
      <c r="D2" s="8" t="s">
        <v>36</v>
      </c>
      <c r="E2" s="8" t="s">
        <v>37</v>
      </c>
      <c r="F2" s="8" t="s">
        <v>26</v>
      </c>
      <c r="G2" s="14">
        <v>46293.0</v>
      </c>
      <c r="H2" s="14">
        <v>46295.0</v>
      </c>
      <c r="I2" s="8">
        <v>3.0</v>
      </c>
      <c r="J2" s="8" t="s">
        <v>38</v>
      </c>
      <c r="K2" s="8" t="s">
        <v>28</v>
      </c>
      <c r="L2" s="14">
        <v>46285.0</v>
      </c>
      <c r="M2" s="8" t="b">
        <v>0</v>
      </c>
      <c r="N2" s="8" t="s">
        <v>39</v>
      </c>
      <c r="O2" s="8" t="s">
        <v>39</v>
      </c>
      <c r="P2" s="17" t="str">
        <f t="shared" ref="P2:P16" si="1">TEXT(G2, "mmm")</f>
        <v>Sep</v>
      </c>
    </row>
    <row r="3">
      <c r="A3" s="12" t="s">
        <v>40</v>
      </c>
      <c r="B3" s="8" t="s">
        <v>41</v>
      </c>
      <c r="C3" s="8" t="s">
        <v>42</v>
      </c>
      <c r="D3" s="8" t="s">
        <v>36</v>
      </c>
      <c r="E3" s="8" t="s">
        <v>37</v>
      </c>
      <c r="F3" s="8" t="s">
        <v>26</v>
      </c>
      <c r="G3" s="14">
        <v>46300.0</v>
      </c>
      <c r="H3" s="14">
        <v>46302.0</v>
      </c>
      <c r="I3" s="8">
        <v>3.0</v>
      </c>
      <c r="J3" s="8" t="s">
        <v>43</v>
      </c>
      <c r="K3" s="8" t="s">
        <v>27</v>
      </c>
      <c r="L3" s="14">
        <v>46283.0</v>
      </c>
      <c r="M3" s="8" t="b">
        <v>0</v>
      </c>
      <c r="N3" s="8" t="s">
        <v>39</v>
      </c>
      <c r="O3" s="8" t="s">
        <v>39</v>
      </c>
      <c r="P3" s="17" t="str">
        <f t="shared" si="1"/>
        <v>Oct</v>
      </c>
    </row>
    <row r="4">
      <c r="A4" s="12" t="s">
        <v>47</v>
      </c>
      <c r="B4" s="8" t="s">
        <v>48</v>
      </c>
      <c r="C4" s="8" t="s">
        <v>49</v>
      </c>
      <c r="D4" s="8" t="s">
        <v>34</v>
      </c>
      <c r="E4" s="8" t="s">
        <v>50</v>
      </c>
      <c r="F4" s="8" t="s">
        <v>51</v>
      </c>
      <c r="G4" s="14">
        <v>46280.0</v>
      </c>
      <c r="H4" s="14">
        <v>46281.0</v>
      </c>
      <c r="I4" s="8">
        <v>2.0</v>
      </c>
      <c r="J4" s="8" t="s">
        <v>55</v>
      </c>
      <c r="K4" s="8" t="s">
        <v>27</v>
      </c>
      <c r="L4" s="14">
        <v>46279.0</v>
      </c>
      <c r="M4" s="8" t="b">
        <v>0</v>
      </c>
      <c r="N4" s="8" t="s">
        <v>39</v>
      </c>
      <c r="O4" s="8" t="s">
        <v>39</v>
      </c>
      <c r="P4" s="17" t="str">
        <f t="shared" si="1"/>
        <v>Sep</v>
      </c>
    </row>
    <row r="5">
      <c r="A5" s="12" t="s">
        <v>56</v>
      </c>
      <c r="B5" s="8" t="s">
        <v>57</v>
      </c>
      <c r="C5" s="8" t="s">
        <v>58</v>
      </c>
      <c r="D5" s="8" t="s">
        <v>34</v>
      </c>
      <c r="E5" s="8" t="s">
        <v>50</v>
      </c>
      <c r="F5" s="8" t="s">
        <v>61</v>
      </c>
      <c r="G5" s="14">
        <v>46287.0</v>
      </c>
      <c r="H5" s="14">
        <v>46287.0</v>
      </c>
      <c r="I5" s="8">
        <v>1.0</v>
      </c>
      <c r="J5" s="8" t="s">
        <v>62</v>
      </c>
      <c r="K5" s="8" t="s">
        <v>29</v>
      </c>
      <c r="L5" s="14">
        <v>46283.0</v>
      </c>
      <c r="M5" s="8" t="b">
        <v>0</v>
      </c>
      <c r="N5" s="8" t="s">
        <v>39</v>
      </c>
      <c r="O5" s="8" t="s">
        <v>39</v>
      </c>
      <c r="P5" s="17" t="str">
        <f t="shared" si="1"/>
        <v>Sep</v>
      </c>
    </row>
    <row r="6">
      <c r="A6" s="12" t="s">
        <v>66</v>
      </c>
      <c r="B6" s="8" t="s">
        <v>35</v>
      </c>
      <c r="C6" s="8" t="s">
        <v>22</v>
      </c>
      <c r="D6" s="8" t="s">
        <v>36</v>
      </c>
      <c r="E6" s="8" t="s">
        <v>37</v>
      </c>
      <c r="F6" s="8" t="s">
        <v>51</v>
      </c>
      <c r="G6" s="14">
        <v>46244.0</v>
      </c>
      <c r="H6" s="14">
        <v>46245.0</v>
      </c>
      <c r="I6" s="8">
        <v>2.0</v>
      </c>
      <c r="J6" s="8" t="s">
        <v>68</v>
      </c>
      <c r="K6" s="8" t="s">
        <v>27</v>
      </c>
      <c r="L6" s="14">
        <v>46243.0</v>
      </c>
      <c r="M6" s="8" t="b">
        <v>0</v>
      </c>
      <c r="N6" s="8" t="s">
        <v>39</v>
      </c>
      <c r="O6" s="8" t="s">
        <v>39</v>
      </c>
      <c r="P6" s="17" t="str">
        <f t="shared" si="1"/>
        <v>Aug</v>
      </c>
    </row>
    <row r="7">
      <c r="A7" s="12" t="s">
        <v>71</v>
      </c>
      <c r="B7" s="8" t="s">
        <v>41</v>
      </c>
      <c r="C7" s="8" t="s">
        <v>42</v>
      </c>
      <c r="D7" s="8" t="s">
        <v>36</v>
      </c>
      <c r="E7" s="8" t="s">
        <v>37</v>
      </c>
      <c r="F7" s="8" t="s">
        <v>61</v>
      </c>
      <c r="G7" s="14">
        <v>46254.0</v>
      </c>
      <c r="H7" s="14">
        <v>46254.0</v>
      </c>
      <c r="I7" s="8">
        <v>1.0</v>
      </c>
      <c r="J7" s="8" t="s">
        <v>75</v>
      </c>
      <c r="K7" s="8" t="s">
        <v>27</v>
      </c>
      <c r="L7" s="14">
        <v>46252.0</v>
      </c>
      <c r="M7" s="8" t="b">
        <v>0</v>
      </c>
      <c r="N7" s="8" t="s">
        <v>39</v>
      </c>
      <c r="O7" s="8" t="s">
        <v>39</v>
      </c>
      <c r="P7" s="17" t="str">
        <f t="shared" si="1"/>
        <v>Aug</v>
      </c>
    </row>
    <row r="8">
      <c r="A8" s="12" t="s">
        <v>76</v>
      </c>
      <c r="B8" s="8" t="s">
        <v>48</v>
      </c>
      <c r="C8" s="8" t="s">
        <v>49</v>
      </c>
      <c r="D8" s="8" t="s">
        <v>34</v>
      </c>
      <c r="E8" s="8" t="s">
        <v>50</v>
      </c>
      <c r="F8" s="8" t="s">
        <v>26</v>
      </c>
      <c r="G8" s="14">
        <v>46328.0</v>
      </c>
      <c r="H8" s="14">
        <v>46331.0</v>
      </c>
      <c r="I8" s="8">
        <v>4.0</v>
      </c>
      <c r="J8" s="8" t="s">
        <v>79</v>
      </c>
      <c r="K8" s="8" t="s">
        <v>28</v>
      </c>
      <c r="L8" s="14">
        <v>46315.0</v>
      </c>
      <c r="M8" s="8" t="b">
        <v>0</v>
      </c>
      <c r="N8" s="8" t="s">
        <v>39</v>
      </c>
      <c r="O8" s="8" t="s">
        <v>39</v>
      </c>
      <c r="P8" s="17" t="str">
        <f t="shared" si="1"/>
        <v>Nov</v>
      </c>
    </row>
    <row r="9">
      <c r="A9" s="12" t="s">
        <v>80</v>
      </c>
      <c r="B9" s="8" t="s">
        <v>57</v>
      </c>
      <c r="C9" s="8" t="s">
        <v>58</v>
      </c>
      <c r="D9" s="8" t="s">
        <v>34</v>
      </c>
      <c r="E9" s="8" t="s">
        <v>50</v>
      </c>
      <c r="F9" s="8" t="s">
        <v>26</v>
      </c>
      <c r="G9" s="14">
        <v>46213.0</v>
      </c>
      <c r="H9" s="14">
        <v>46215.0</v>
      </c>
      <c r="I9" s="8">
        <v>3.0</v>
      </c>
      <c r="J9" s="8" t="s">
        <v>84</v>
      </c>
      <c r="K9" s="8" t="s">
        <v>27</v>
      </c>
      <c r="L9" s="14">
        <v>46204.0</v>
      </c>
      <c r="M9" s="8" t="b">
        <v>0</v>
      </c>
      <c r="N9" s="8" t="s">
        <v>39</v>
      </c>
      <c r="O9" s="8" t="s">
        <v>39</v>
      </c>
      <c r="P9" s="17" t="str">
        <f t="shared" si="1"/>
        <v>Jul</v>
      </c>
    </row>
    <row r="10">
      <c r="A10" s="12" t="s">
        <v>89</v>
      </c>
      <c r="B10" s="8" t="s">
        <v>90</v>
      </c>
      <c r="C10" s="8" t="s">
        <v>37</v>
      </c>
      <c r="D10" s="8" t="s">
        <v>36</v>
      </c>
      <c r="E10" s="8" t="s">
        <v>92</v>
      </c>
      <c r="F10" s="8" t="s">
        <v>26</v>
      </c>
      <c r="G10" s="14">
        <v>46188.0</v>
      </c>
      <c r="H10" s="14">
        <v>46192.0</v>
      </c>
      <c r="I10" s="8">
        <v>5.0</v>
      </c>
      <c r="J10" s="8" t="s">
        <v>94</v>
      </c>
      <c r="K10" s="8" t="s">
        <v>27</v>
      </c>
      <c r="L10" s="14">
        <v>46174.0</v>
      </c>
      <c r="M10" s="8" t="b">
        <v>0</v>
      </c>
      <c r="N10" s="8" t="s">
        <v>39</v>
      </c>
      <c r="O10" s="8" t="s">
        <v>39</v>
      </c>
      <c r="P10" s="17" t="str">
        <f t="shared" si="1"/>
        <v>Jun</v>
      </c>
    </row>
    <row r="11">
      <c r="A11" s="12" t="s">
        <v>97</v>
      </c>
      <c r="B11" s="8" t="s">
        <v>98</v>
      </c>
      <c r="C11" s="8" t="s">
        <v>50</v>
      </c>
      <c r="D11" s="8" t="s">
        <v>34</v>
      </c>
      <c r="E11" s="8" t="s">
        <v>92</v>
      </c>
      <c r="F11" s="8" t="s">
        <v>51</v>
      </c>
      <c r="G11" s="14">
        <v>46153.0</v>
      </c>
      <c r="H11" s="14">
        <v>46154.0</v>
      </c>
      <c r="I11" s="8">
        <v>2.0</v>
      </c>
      <c r="J11" s="8" t="s">
        <v>101</v>
      </c>
      <c r="K11" s="8" t="s">
        <v>27</v>
      </c>
      <c r="L11" s="14">
        <v>46151.0</v>
      </c>
      <c r="M11" s="8" t="b">
        <v>0</v>
      </c>
      <c r="N11" s="8" t="s">
        <v>39</v>
      </c>
      <c r="O11" s="8" t="s">
        <v>39</v>
      </c>
      <c r="P11" s="17" t="str">
        <f t="shared" si="1"/>
        <v>May</v>
      </c>
    </row>
    <row r="12">
      <c r="A12" s="12" t="s">
        <v>104</v>
      </c>
      <c r="B12" s="8" t="s">
        <v>105</v>
      </c>
      <c r="C12" s="8" t="s">
        <v>106</v>
      </c>
      <c r="D12" s="8" t="s">
        <v>88</v>
      </c>
      <c r="E12" s="8" t="s">
        <v>107</v>
      </c>
      <c r="F12" s="8" t="s">
        <v>26</v>
      </c>
      <c r="G12" s="14">
        <v>46237.0</v>
      </c>
      <c r="H12" s="14">
        <v>46239.0</v>
      </c>
      <c r="I12" s="8">
        <v>3.0</v>
      </c>
      <c r="J12" s="8" t="s">
        <v>110</v>
      </c>
      <c r="K12" s="8" t="s">
        <v>27</v>
      </c>
      <c r="L12" s="14">
        <v>46228.0</v>
      </c>
      <c r="M12" s="8" t="b">
        <v>0</v>
      </c>
      <c r="N12" s="8" t="s">
        <v>39</v>
      </c>
      <c r="O12" s="8" t="s">
        <v>39</v>
      </c>
      <c r="P12" s="17" t="str">
        <f t="shared" si="1"/>
        <v>Aug</v>
      </c>
    </row>
    <row r="13">
      <c r="A13" s="12" t="s">
        <v>112</v>
      </c>
      <c r="B13" s="8" t="s">
        <v>114</v>
      </c>
      <c r="C13" s="8" t="s">
        <v>107</v>
      </c>
      <c r="D13" s="8" t="s">
        <v>88</v>
      </c>
      <c r="E13" s="8" t="s">
        <v>92</v>
      </c>
      <c r="F13" s="8" t="s">
        <v>61</v>
      </c>
      <c r="G13" s="14">
        <v>46275.0</v>
      </c>
      <c r="H13" s="14">
        <v>46275.0</v>
      </c>
      <c r="I13" s="8">
        <v>1.0</v>
      </c>
      <c r="J13" s="8" t="s">
        <v>75</v>
      </c>
      <c r="K13" s="8" t="s">
        <v>27</v>
      </c>
      <c r="L13" s="14">
        <v>46270.0</v>
      </c>
      <c r="M13" s="8" t="b">
        <v>0</v>
      </c>
      <c r="N13" s="8" t="s">
        <v>39</v>
      </c>
      <c r="O13" s="8" t="s">
        <v>39</v>
      </c>
      <c r="P13" s="17" t="str">
        <f t="shared" si="1"/>
        <v>Sep</v>
      </c>
    </row>
    <row r="14">
      <c r="A14" s="12" t="s">
        <v>116</v>
      </c>
      <c r="B14" s="8" t="s">
        <v>35</v>
      </c>
      <c r="C14" s="8" t="s">
        <v>22</v>
      </c>
      <c r="D14" s="8" t="s">
        <v>36</v>
      </c>
      <c r="E14" s="8" t="s">
        <v>37</v>
      </c>
      <c r="F14" s="8" t="s">
        <v>61</v>
      </c>
      <c r="G14" s="14">
        <v>46310.0</v>
      </c>
      <c r="H14" s="14">
        <v>46310.0</v>
      </c>
      <c r="I14" s="8">
        <v>1.0</v>
      </c>
      <c r="J14" s="8" t="s">
        <v>118</v>
      </c>
      <c r="K14" s="8" t="s">
        <v>28</v>
      </c>
      <c r="L14" s="14">
        <v>46296.0</v>
      </c>
      <c r="M14" s="8" t="b">
        <v>0</v>
      </c>
      <c r="N14" s="8" t="s">
        <v>39</v>
      </c>
      <c r="O14" s="8" t="s">
        <v>39</v>
      </c>
      <c r="P14" s="17" t="str">
        <f t="shared" si="1"/>
        <v>Oct</v>
      </c>
    </row>
    <row r="15">
      <c r="A15" s="12" t="s">
        <v>119</v>
      </c>
      <c r="B15" s="8" t="s">
        <v>41</v>
      </c>
      <c r="C15" s="8" t="s">
        <v>42</v>
      </c>
      <c r="D15" s="8" t="s">
        <v>36</v>
      </c>
      <c r="E15" s="8" t="s">
        <v>37</v>
      </c>
      <c r="F15" s="8" t="s">
        <v>51</v>
      </c>
      <c r="G15" s="14">
        <v>46270.0</v>
      </c>
      <c r="H15" s="14">
        <v>46271.0</v>
      </c>
      <c r="I15" s="8">
        <v>2.0</v>
      </c>
      <c r="J15" s="8" t="s">
        <v>120</v>
      </c>
      <c r="K15" s="8" t="s">
        <v>27</v>
      </c>
      <c r="L15" s="14">
        <v>46269.0</v>
      </c>
      <c r="M15" s="8" t="b">
        <v>0</v>
      </c>
      <c r="N15" s="8" t="s">
        <v>39</v>
      </c>
      <c r="O15" s="8" t="s">
        <v>39</v>
      </c>
      <c r="P15" s="17" t="str">
        <f t="shared" si="1"/>
        <v>Sep</v>
      </c>
    </row>
    <row r="16">
      <c r="A16" s="31" t="s">
        <v>121</v>
      </c>
      <c r="B16" s="27" t="s">
        <v>48</v>
      </c>
      <c r="C16" s="27" t="s">
        <v>49</v>
      </c>
      <c r="D16" s="27" t="s">
        <v>34</v>
      </c>
      <c r="E16" s="27" t="s">
        <v>50</v>
      </c>
      <c r="F16" s="27" t="s">
        <v>61</v>
      </c>
      <c r="G16" s="32">
        <v>46307.0</v>
      </c>
      <c r="H16" s="32">
        <v>46307.0</v>
      </c>
      <c r="I16" s="27">
        <v>1.0</v>
      </c>
      <c r="J16" s="27" t="s">
        <v>62</v>
      </c>
      <c r="K16" s="27" t="s">
        <v>29</v>
      </c>
      <c r="L16" s="32">
        <v>46300.0</v>
      </c>
      <c r="M16" s="27" t="b">
        <v>0</v>
      </c>
      <c r="N16" s="27" t="s">
        <v>39</v>
      </c>
      <c r="O16" s="27" t="s">
        <v>39</v>
      </c>
      <c r="P16" s="33" t="str">
        <f t="shared" si="1"/>
        <v>Oct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3.75"/>
    <col customWidth="1" min="3" max="3" width="14.25"/>
    <col customWidth="1" min="4" max="4" width="10.63"/>
    <col customWidth="1" min="5" max="5" width="9.25"/>
    <col customWidth="1" min="6" max="6" width="10.0"/>
    <col customWidth="1" min="7" max="7" width="11.5"/>
    <col customWidth="1" min="8" max="8" width="6.88"/>
  </cols>
  <sheetData>
    <row r="1">
      <c r="A1" s="2" t="s">
        <v>1</v>
      </c>
      <c r="B1" s="4" t="s">
        <v>3</v>
      </c>
      <c r="C1" s="4" t="s">
        <v>5</v>
      </c>
      <c r="D1" s="4" t="s">
        <v>7</v>
      </c>
      <c r="E1" s="4" t="s">
        <v>8</v>
      </c>
      <c r="F1" s="4" t="s">
        <v>9</v>
      </c>
      <c r="G1" s="4" t="s">
        <v>11</v>
      </c>
      <c r="H1" s="5" t="s">
        <v>14</v>
      </c>
    </row>
    <row r="2">
      <c r="A2" s="6" t="s">
        <v>19</v>
      </c>
      <c r="B2" s="8" t="s">
        <v>22</v>
      </c>
      <c r="C2" s="8" t="s">
        <v>25</v>
      </c>
      <c r="D2" s="8" t="s">
        <v>26</v>
      </c>
      <c r="E2" s="10">
        <v>25.0</v>
      </c>
      <c r="F2" s="10">
        <v>18.0</v>
      </c>
      <c r="G2" s="15">
        <f t="shared" ref="G2:G18" si="1">E2-F2</f>
        <v>7</v>
      </c>
      <c r="H2" s="18" t="str">
        <f t="shared" ref="H2:H18" si="2">IF(G2&lt;=4,"Low",IF(G2&lt;=10,"Medium","Healthy"))</f>
        <v>Medium</v>
      </c>
    </row>
    <row r="3">
      <c r="A3" s="6" t="s">
        <v>44</v>
      </c>
      <c r="B3" s="8" t="s">
        <v>45</v>
      </c>
      <c r="C3" s="8" t="s">
        <v>46</v>
      </c>
      <c r="D3" s="8" t="s">
        <v>26</v>
      </c>
      <c r="E3" s="10">
        <v>24.0</v>
      </c>
      <c r="F3" s="10">
        <v>10.0</v>
      </c>
      <c r="G3" s="15">
        <f t="shared" si="1"/>
        <v>14</v>
      </c>
      <c r="H3" s="18" t="str">
        <f t="shared" si="2"/>
        <v>Healthy</v>
      </c>
    </row>
    <row r="4">
      <c r="A4" s="6" t="s">
        <v>52</v>
      </c>
      <c r="B4" s="8" t="s">
        <v>53</v>
      </c>
      <c r="C4" s="8" t="s">
        <v>54</v>
      </c>
      <c r="D4" s="8" t="s">
        <v>26</v>
      </c>
      <c r="E4" s="10">
        <v>22.0</v>
      </c>
      <c r="F4" s="10">
        <v>20.0</v>
      </c>
      <c r="G4" s="15">
        <f t="shared" si="1"/>
        <v>2</v>
      </c>
      <c r="H4" s="18" t="str">
        <f t="shared" si="2"/>
        <v>Low</v>
      </c>
    </row>
    <row r="5">
      <c r="A5" s="6" t="s">
        <v>59</v>
      </c>
      <c r="B5" s="8" t="s">
        <v>60</v>
      </c>
      <c r="C5" s="8" t="s">
        <v>34</v>
      </c>
      <c r="D5" s="8" t="s">
        <v>26</v>
      </c>
      <c r="E5" s="10">
        <v>25.0</v>
      </c>
      <c r="F5" s="10">
        <v>8.0</v>
      </c>
      <c r="G5" s="15">
        <f t="shared" si="1"/>
        <v>17</v>
      </c>
      <c r="H5" s="18" t="str">
        <f t="shared" si="2"/>
        <v>Healthy</v>
      </c>
    </row>
    <row r="6">
      <c r="A6" s="6" t="s">
        <v>63</v>
      </c>
      <c r="B6" s="8" t="s">
        <v>64</v>
      </c>
      <c r="C6" s="8" t="s">
        <v>65</v>
      </c>
      <c r="D6" s="8" t="s">
        <v>26</v>
      </c>
      <c r="E6" s="10">
        <v>20.0</v>
      </c>
      <c r="F6" s="10">
        <v>16.0</v>
      </c>
      <c r="G6" s="15">
        <f t="shared" si="1"/>
        <v>4</v>
      </c>
      <c r="H6" s="18" t="str">
        <f t="shared" si="2"/>
        <v>Low</v>
      </c>
    </row>
    <row r="7">
      <c r="A7" s="6" t="s">
        <v>67</v>
      </c>
      <c r="B7" s="8" t="s">
        <v>69</v>
      </c>
      <c r="C7" s="8" t="s">
        <v>70</v>
      </c>
      <c r="D7" s="8" t="s">
        <v>26</v>
      </c>
      <c r="E7" s="10">
        <v>24.0</v>
      </c>
      <c r="F7" s="10">
        <v>14.0</v>
      </c>
      <c r="G7" s="15">
        <f t="shared" si="1"/>
        <v>10</v>
      </c>
      <c r="H7" s="18" t="str">
        <f t="shared" si="2"/>
        <v>Medium</v>
      </c>
    </row>
    <row r="8">
      <c r="A8" s="6" t="s">
        <v>72</v>
      </c>
      <c r="B8" s="8" t="s">
        <v>73</v>
      </c>
      <c r="C8" s="8" t="s">
        <v>74</v>
      </c>
      <c r="D8" s="8" t="s">
        <v>26</v>
      </c>
      <c r="E8" s="10">
        <v>20.0</v>
      </c>
      <c r="F8" s="10">
        <v>18.0</v>
      </c>
      <c r="G8" s="15">
        <f t="shared" si="1"/>
        <v>2</v>
      </c>
      <c r="H8" s="18" t="str">
        <f t="shared" si="2"/>
        <v>Low</v>
      </c>
    </row>
    <row r="9">
      <c r="A9" s="6" t="s">
        <v>77</v>
      </c>
      <c r="B9" s="8" t="s">
        <v>78</v>
      </c>
      <c r="C9" s="8" t="s">
        <v>46</v>
      </c>
      <c r="D9" s="8" t="s">
        <v>26</v>
      </c>
      <c r="E9" s="10">
        <v>25.0</v>
      </c>
      <c r="F9" s="10">
        <v>6.0</v>
      </c>
      <c r="G9" s="15">
        <f t="shared" si="1"/>
        <v>19</v>
      </c>
      <c r="H9" s="18" t="str">
        <f t="shared" si="2"/>
        <v>Healthy</v>
      </c>
    </row>
    <row r="10">
      <c r="A10" s="6" t="s">
        <v>81</v>
      </c>
      <c r="B10" s="8" t="s">
        <v>82</v>
      </c>
      <c r="C10" s="8" t="s">
        <v>83</v>
      </c>
      <c r="D10" s="8" t="s">
        <v>26</v>
      </c>
      <c r="E10" s="10">
        <v>22.0</v>
      </c>
      <c r="F10" s="10">
        <v>12.0</v>
      </c>
      <c r="G10" s="15">
        <f t="shared" si="1"/>
        <v>10</v>
      </c>
      <c r="H10" s="18" t="str">
        <f t="shared" si="2"/>
        <v>Medium</v>
      </c>
    </row>
    <row r="11">
      <c r="A11" s="6" t="s">
        <v>85</v>
      </c>
      <c r="B11" s="8" t="s">
        <v>86</v>
      </c>
      <c r="C11" s="8" t="s">
        <v>87</v>
      </c>
      <c r="D11" s="8" t="s">
        <v>26</v>
      </c>
      <c r="E11" s="10">
        <v>20.0</v>
      </c>
      <c r="F11" s="10">
        <v>5.0</v>
      </c>
      <c r="G11" s="15">
        <f t="shared" si="1"/>
        <v>15</v>
      </c>
      <c r="H11" s="18" t="str">
        <f t="shared" si="2"/>
        <v>Healthy</v>
      </c>
    </row>
    <row r="12">
      <c r="A12" s="6" t="s">
        <v>91</v>
      </c>
      <c r="B12" s="8" t="s">
        <v>49</v>
      </c>
      <c r="C12" s="8" t="s">
        <v>93</v>
      </c>
      <c r="D12" s="8" t="s">
        <v>26</v>
      </c>
      <c r="E12" s="10">
        <v>24.0</v>
      </c>
      <c r="F12" s="10">
        <v>22.0</v>
      </c>
      <c r="G12" s="15">
        <f t="shared" si="1"/>
        <v>2</v>
      </c>
      <c r="H12" s="18" t="str">
        <f t="shared" si="2"/>
        <v>Low</v>
      </c>
    </row>
    <row r="13">
      <c r="A13" s="6" t="s">
        <v>95</v>
      </c>
      <c r="B13" s="8" t="s">
        <v>96</v>
      </c>
      <c r="C13" s="8" t="s">
        <v>65</v>
      </c>
      <c r="D13" s="8" t="s">
        <v>26</v>
      </c>
      <c r="E13" s="10">
        <v>22.0</v>
      </c>
      <c r="F13" s="10">
        <v>15.0</v>
      </c>
      <c r="G13" s="15">
        <f t="shared" si="1"/>
        <v>7</v>
      </c>
      <c r="H13" s="18" t="str">
        <f t="shared" si="2"/>
        <v>Medium</v>
      </c>
    </row>
    <row r="14">
      <c r="A14" s="6" t="s">
        <v>99</v>
      </c>
      <c r="B14" s="8" t="s">
        <v>100</v>
      </c>
      <c r="C14" s="8" t="s">
        <v>54</v>
      </c>
      <c r="D14" s="8" t="s">
        <v>26</v>
      </c>
      <c r="E14" s="10">
        <v>25.0</v>
      </c>
      <c r="F14" s="10">
        <v>11.0</v>
      </c>
      <c r="G14" s="15">
        <f t="shared" si="1"/>
        <v>14</v>
      </c>
      <c r="H14" s="18" t="str">
        <f t="shared" si="2"/>
        <v>Healthy</v>
      </c>
    </row>
    <row r="15">
      <c r="A15" s="6" t="s">
        <v>102</v>
      </c>
      <c r="B15" s="8" t="s">
        <v>103</v>
      </c>
      <c r="C15" s="8" t="s">
        <v>34</v>
      </c>
      <c r="D15" s="8" t="s">
        <v>26</v>
      </c>
      <c r="E15" s="10">
        <v>20.0</v>
      </c>
      <c r="F15" s="10">
        <v>17.0</v>
      </c>
      <c r="G15" s="15">
        <f t="shared" si="1"/>
        <v>3</v>
      </c>
      <c r="H15" s="18" t="str">
        <f t="shared" si="2"/>
        <v>Low</v>
      </c>
    </row>
    <row r="16">
      <c r="A16" s="6" t="s">
        <v>108</v>
      </c>
      <c r="B16" s="8" t="s">
        <v>109</v>
      </c>
      <c r="C16" s="8" t="s">
        <v>46</v>
      </c>
      <c r="D16" s="8" t="s">
        <v>26</v>
      </c>
      <c r="E16" s="10">
        <v>24.0</v>
      </c>
      <c r="F16" s="10">
        <v>4.0</v>
      </c>
      <c r="G16" s="15">
        <f t="shared" si="1"/>
        <v>20</v>
      </c>
      <c r="H16" s="18" t="str">
        <f t="shared" si="2"/>
        <v>Healthy</v>
      </c>
    </row>
    <row r="17">
      <c r="A17" s="6" t="s">
        <v>111</v>
      </c>
      <c r="B17" s="8" t="s">
        <v>113</v>
      </c>
      <c r="C17" s="8" t="s">
        <v>83</v>
      </c>
      <c r="D17" s="8" t="s">
        <v>26</v>
      </c>
      <c r="E17" s="10">
        <v>22.0</v>
      </c>
      <c r="F17" s="10">
        <v>14.0</v>
      </c>
      <c r="G17" s="15">
        <f t="shared" si="1"/>
        <v>8</v>
      </c>
      <c r="H17" s="18" t="str">
        <f t="shared" si="2"/>
        <v>Medium</v>
      </c>
    </row>
    <row r="18">
      <c r="A18" s="26" t="s">
        <v>115</v>
      </c>
      <c r="B18" s="27" t="s">
        <v>117</v>
      </c>
      <c r="C18" s="27" t="s">
        <v>25</v>
      </c>
      <c r="D18" s="27" t="s">
        <v>26</v>
      </c>
      <c r="E18" s="28">
        <v>25.0</v>
      </c>
      <c r="F18" s="28">
        <v>9.0</v>
      </c>
      <c r="G18" s="29">
        <f t="shared" si="1"/>
        <v>16</v>
      </c>
      <c r="H18" s="30" t="str">
        <f t="shared" si="2"/>
        <v>Healthy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3.13"/>
    <col customWidth="1" min="3" max="3" width="16.88"/>
    <col customWidth="1" min="4" max="4" width="12.0"/>
    <col customWidth="1" min="5" max="5" width="6.75"/>
    <col customWidth="1" min="6" max="6" width="12.0"/>
    <col customWidth="1" min="7" max="7" width="10.13"/>
  </cols>
  <sheetData>
    <row r="2">
      <c r="A2" s="1" t="s">
        <v>0</v>
      </c>
      <c r="B2" s="3"/>
      <c r="C2" s="3"/>
      <c r="D2" s="3"/>
      <c r="E2" s="3"/>
      <c r="F2" s="3"/>
      <c r="G2" s="3"/>
    </row>
    <row r="3">
      <c r="A3" s="7" t="s">
        <v>5</v>
      </c>
      <c r="B3" s="9" t="s">
        <v>24</v>
      </c>
      <c r="C3" s="9" t="s">
        <v>27</v>
      </c>
      <c r="D3" s="9" t="s">
        <v>28</v>
      </c>
      <c r="E3" s="9" t="s">
        <v>29</v>
      </c>
      <c r="F3" s="9" t="s">
        <v>31</v>
      </c>
      <c r="G3" s="11" t="s">
        <v>32</v>
      </c>
    </row>
    <row r="4">
      <c r="A4" s="12" t="s">
        <v>34</v>
      </c>
      <c r="B4" s="16">
        <f>COUNTIF(Cleaned_Data!D$2:D$16, A4)</f>
        <v>6</v>
      </c>
      <c r="C4" s="16">
        <f>COUNTIFS(Cleaned_Data!D$2:D$16, A4, Cleaned_Data!K$2:K$16, "Approved")</f>
        <v>3</v>
      </c>
      <c r="D4" s="16">
        <f>COUNTIFS(Cleaned_Data!D$2:D$16, A4, Cleaned_Data!K$2:K$16, "Pending")</f>
        <v>1</v>
      </c>
      <c r="E4" s="16">
        <f>COUNTIFS(Cleaned_Data!D$2:D$16, A4, Cleaned_Data!K$2:K$16, "Rejected")</f>
        <v>2</v>
      </c>
      <c r="F4" s="16">
        <f>SUMIF(Cleaned_Data!D$2:D$16, A4, Cleaned_Data!I$2:I$16)</f>
        <v>13</v>
      </c>
      <c r="G4" s="25">
        <f t="shared" ref="G4:G7" si="1">IF(B4=0, 0, C4/B4)</f>
        <v>0.5</v>
      </c>
    </row>
    <row r="5">
      <c r="A5" s="12" t="s">
        <v>88</v>
      </c>
      <c r="B5" s="16">
        <f>COUNTIF(Cleaned_Data!D$2:D$16, A5)</f>
        <v>2</v>
      </c>
      <c r="C5" s="16">
        <f>COUNTIFS(Cleaned_Data!D$2:D$16, A5, Cleaned_Data!K$2:K$16, "Approved")</f>
        <v>2</v>
      </c>
      <c r="D5" s="16">
        <f>COUNTIFS(Cleaned_Data!D$2:D$16, A5, Cleaned_Data!K$2:K$16, "Pending")</f>
        <v>0</v>
      </c>
      <c r="E5" s="16">
        <f>COUNTIFS(Cleaned_Data!D$2:D$16, A5, Cleaned_Data!K$2:K$16, "Rejected")</f>
        <v>0</v>
      </c>
      <c r="F5" s="16">
        <f>SUMIF(Cleaned_Data!D$2:D$16, A5, Cleaned_Data!I$2:I$16)</f>
        <v>4</v>
      </c>
      <c r="G5" s="25">
        <f t="shared" si="1"/>
        <v>1</v>
      </c>
    </row>
    <row r="6">
      <c r="A6" s="12" t="s">
        <v>36</v>
      </c>
      <c r="B6" s="16">
        <f>COUNTIF(Cleaned_Data!D$2:D$16, A6)</f>
        <v>7</v>
      </c>
      <c r="C6" s="16">
        <f>COUNTIFS(Cleaned_Data!D$2:D$16, A6, Cleaned_Data!K$2:K$16, "Approved")</f>
        <v>5</v>
      </c>
      <c r="D6" s="16">
        <f>COUNTIFS(Cleaned_Data!D$2:D$16, A6, Cleaned_Data!K$2:K$16, "Pending")</f>
        <v>2</v>
      </c>
      <c r="E6" s="16">
        <f>COUNTIFS(Cleaned_Data!D$2:D$16, A6, Cleaned_Data!K$2:K$16, "Rejected")</f>
        <v>0</v>
      </c>
      <c r="F6" s="16">
        <f>SUMIF(Cleaned_Data!D$2:D$16, A6, Cleaned_Data!I$2:I$16)</f>
        <v>17</v>
      </c>
      <c r="G6" s="25">
        <f t="shared" si="1"/>
        <v>0.7142857143</v>
      </c>
    </row>
    <row r="7">
      <c r="A7" s="34" t="s">
        <v>122</v>
      </c>
      <c r="B7" s="35">
        <f t="shared" ref="B7:F7" si="2">SUM(B4:B6)</f>
        <v>15</v>
      </c>
      <c r="C7" s="35">
        <f t="shared" si="2"/>
        <v>10</v>
      </c>
      <c r="D7" s="35">
        <f t="shared" si="2"/>
        <v>3</v>
      </c>
      <c r="E7" s="35">
        <f t="shared" si="2"/>
        <v>2</v>
      </c>
      <c r="F7" s="35">
        <f t="shared" si="2"/>
        <v>34</v>
      </c>
      <c r="G7" s="36">
        <f t="shared" si="1"/>
        <v>0.6666666667</v>
      </c>
    </row>
    <row r="10">
      <c r="A10" s="1" t="s">
        <v>123</v>
      </c>
      <c r="B10" s="3"/>
      <c r="C10" s="3"/>
      <c r="D10" s="3"/>
    </row>
    <row r="11">
      <c r="A11" s="7" t="s">
        <v>7</v>
      </c>
      <c r="B11" s="9" t="s">
        <v>124</v>
      </c>
      <c r="C11" s="9" t="s">
        <v>125</v>
      </c>
      <c r="D11" s="11" t="s">
        <v>126</v>
      </c>
    </row>
    <row r="12">
      <c r="A12" s="12" t="s">
        <v>26</v>
      </c>
      <c r="B12" s="16">
        <f>COUNTIF(Cleaned_Data!F$2:F$16, A12)</f>
        <v>6</v>
      </c>
      <c r="C12" s="16">
        <f>SUMIF(Cleaned_Data!F$2:F$16, A12, Cleaned_Data!I$2:I$16)</f>
        <v>21</v>
      </c>
      <c r="D12" s="25">
        <f t="shared" ref="D12:D14" si="3">IF(C$15=0, 0, C12/C$15)</f>
        <v>0.6176470588</v>
      </c>
    </row>
    <row r="13">
      <c r="A13" s="12" t="s">
        <v>61</v>
      </c>
      <c r="B13" s="16">
        <f>COUNTIF(Cleaned_Data!F$2:F$16, A13)</f>
        <v>5</v>
      </c>
      <c r="C13" s="16">
        <f>SUMIF(Cleaned_Data!F$2:F$16, A13, Cleaned_Data!I$2:I$16)</f>
        <v>5</v>
      </c>
      <c r="D13" s="25">
        <f t="shared" si="3"/>
        <v>0.1470588235</v>
      </c>
    </row>
    <row r="14">
      <c r="A14" s="12" t="s">
        <v>51</v>
      </c>
      <c r="B14" s="16">
        <f>COUNTIF(Cleaned_Data!F$2:F$16, A14)</f>
        <v>4</v>
      </c>
      <c r="C14" s="16">
        <f>SUMIF(Cleaned_Data!F$2:F$16, A14, Cleaned_Data!I$2:I$16)</f>
        <v>8</v>
      </c>
      <c r="D14" s="25">
        <f t="shared" si="3"/>
        <v>0.2352941176</v>
      </c>
    </row>
    <row r="15">
      <c r="A15" s="34" t="s">
        <v>122</v>
      </c>
      <c r="B15" s="35">
        <f t="shared" ref="B15:D15" si="4">SUM(B12:B14)</f>
        <v>15</v>
      </c>
      <c r="C15" s="35">
        <f t="shared" si="4"/>
        <v>34</v>
      </c>
      <c r="D15" s="36">
        <f t="shared" si="4"/>
        <v>1</v>
      </c>
    </row>
    <row r="18">
      <c r="A18" s="1" t="s">
        <v>127</v>
      </c>
      <c r="B18" s="3"/>
      <c r="C18" s="3"/>
      <c r="D18" s="3"/>
    </row>
    <row r="19">
      <c r="A19" s="7" t="s">
        <v>14</v>
      </c>
      <c r="B19" s="9" t="s">
        <v>124</v>
      </c>
      <c r="C19" s="9" t="s">
        <v>128</v>
      </c>
      <c r="D19" s="11" t="s">
        <v>31</v>
      </c>
    </row>
    <row r="20">
      <c r="A20" s="12" t="s">
        <v>27</v>
      </c>
      <c r="B20" s="16">
        <f>COUNTIF(Cleaned_Data!K$2:K$16, A20)</f>
        <v>10</v>
      </c>
      <c r="C20" s="37">
        <f t="shared" ref="C20:C22" si="5">IF(B$23=0, 0, B20/B$23)</f>
        <v>0.6666666667</v>
      </c>
      <c r="D20" s="17">
        <f>SUMIF(Cleaned_Data!K$2:K$16, A20, Cleaned_Data!I$2:I$16)</f>
        <v>24</v>
      </c>
    </row>
    <row r="21">
      <c r="A21" s="12" t="s">
        <v>28</v>
      </c>
      <c r="B21" s="16">
        <f>COUNTIF(Cleaned_Data!K$2:K$16, A21)</f>
        <v>3</v>
      </c>
      <c r="C21" s="37">
        <f t="shared" si="5"/>
        <v>0.2</v>
      </c>
      <c r="D21" s="17">
        <f>SUMIF(Cleaned_Data!K$2:K$16, A21, Cleaned_Data!I$2:I$16)</f>
        <v>8</v>
      </c>
    </row>
    <row r="22">
      <c r="A22" s="12" t="s">
        <v>29</v>
      </c>
      <c r="B22" s="16">
        <f>COUNTIF(Cleaned_Data!K$2:K$16, A22)</f>
        <v>2</v>
      </c>
      <c r="C22" s="37">
        <f t="shared" si="5"/>
        <v>0.1333333333</v>
      </c>
      <c r="D22" s="17">
        <f>SUMIF(Cleaned_Data!K$2:K$16, A22, Cleaned_Data!I$2:I$16)</f>
        <v>2</v>
      </c>
    </row>
    <row r="23">
      <c r="A23" s="34" t="s">
        <v>122</v>
      </c>
      <c r="B23" s="35">
        <f t="shared" ref="B23:D23" si="6">SUM(B20:B22)</f>
        <v>15</v>
      </c>
      <c r="C23" s="38">
        <f t="shared" si="6"/>
        <v>1</v>
      </c>
      <c r="D23" s="39">
        <f t="shared" si="6"/>
        <v>34</v>
      </c>
    </row>
    <row r="25">
      <c r="A25" s="1" t="s">
        <v>129</v>
      </c>
      <c r="B25" s="3"/>
      <c r="C25" s="3"/>
    </row>
    <row r="26">
      <c r="A26" s="7" t="s">
        <v>30</v>
      </c>
      <c r="B26" s="9" t="s">
        <v>124</v>
      </c>
      <c r="C26" s="11" t="s">
        <v>130</v>
      </c>
    </row>
    <row r="27">
      <c r="A27" s="12" t="s">
        <v>131</v>
      </c>
      <c r="B27" s="16">
        <f>COUNTIF(Cleaned_Data!P$2:P$16, A27)</f>
        <v>1</v>
      </c>
      <c r="C27" s="17">
        <f>SUMIF(Cleaned_Data!P$2:P$16, A27, Cleaned_Data!I$2:I$16)</f>
        <v>2</v>
      </c>
    </row>
    <row r="28">
      <c r="A28" s="12" t="s">
        <v>132</v>
      </c>
      <c r="B28" s="16">
        <f>COUNTIF(Cleaned_Data!P$2:P$16, A28)</f>
        <v>1</v>
      </c>
      <c r="C28" s="17">
        <f>SUMIF(Cleaned_Data!P$2:P$16, A28, Cleaned_Data!I$2:I$16)</f>
        <v>5</v>
      </c>
    </row>
    <row r="29">
      <c r="A29" s="12" t="s">
        <v>133</v>
      </c>
      <c r="B29" s="16">
        <f>COUNTIF(Cleaned_Data!P$2:P$16, A29)</f>
        <v>1</v>
      </c>
      <c r="C29" s="17">
        <f>SUMIF(Cleaned_Data!P$2:P$16, A29, Cleaned_Data!I$2:I$16)</f>
        <v>3</v>
      </c>
    </row>
    <row r="30">
      <c r="A30" s="12" t="s">
        <v>134</v>
      </c>
      <c r="B30" s="16">
        <f>COUNTIF(Cleaned_Data!P$2:P$16, A30)</f>
        <v>3</v>
      </c>
      <c r="C30" s="17">
        <f>SUMIF(Cleaned_Data!P$2:P$16, A30, Cleaned_Data!I$2:I$16)</f>
        <v>6</v>
      </c>
    </row>
    <row r="31">
      <c r="A31" s="12" t="s">
        <v>135</v>
      </c>
      <c r="B31" s="16">
        <f>COUNTIF(Cleaned_Data!P$2:P$16, A31)</f>
        <v>5</v>
      </c>
      <c r="C31" s="17">
        <f>SUMIF(Cleaned_Data!P$2:P$16, A31, Cleaned_Data!I$2:I$16)</f>
        <v>9</v>
      </c>
    </row>
    <row r="32">
      <c r="A32" s="12" t="s">
        <v>136</v>
      </c>
      <c r="B32" s="16">
        <f>COUNTIF(Cleaned_Data!P$2:P$16, A32)</f>
        <v>3</v>
      </c>
      <c r="C32" s="17">
        <f>SUMIF(Cleaned_Data!P$2:P$16, A32, Cleaned_Data!I$2:I$16)</f>
        <v>5</v>
      </c>
    </row>
    <row r="33">
      <c r="A33" s="12" t="s">
        <v>137</v>
      </c>
      <c r="B33" s="16">
        <f>COUNTIF(Cleaned_Data!P$2:P$16, A33)</f>
        <v>1</v>
      </c>
      <c r="C33" s="17">
        <f>SUMIF(Cleaned_Data!P$2:P$16, A33, Cleaned_Data!I$2:I$16)</f>
        <v>4</v>
      </c>
    </row>
    <row r="34">
      <c r="A34" s="34" t="s">
        <v>122</v>
      </c>
      <c r="B34" s="35">
        <f t="shared" ref="B34:C34" si="7">SUM(B27:B33)</f>
        <v>15</v>
      </c>
      <c r="C34" s="39">
        <f t="shared" si="7"/>
        <v>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13" width="12.0"/>
  </cols>
  <sheetData>
    <row r="2" ht="27.0" customHeight="1">
      <c r="B2" s="45" t="s">
        <v>138</v>
      </c>
    </row>
    <row r="3" ht="16.5" customHeight="1">
      <c r="B3" s="47" t="s">
        <v>139</v>
      </c>
    </row>
    <row r="4" ht="19.5" customHeight="1">
      <c r="B4" s="48" t="s">
        <v>24</v>
      </c>
      <c r="C4" s="49"/>
      <c r="D4" s="50"/>
      <c r="E4" s="51" t="s">
        <v>140</v>
      </c>
      <c r="F4" s="50"/>
      <c r="G4" s="52" t="s">
        <v>141</v>
      </c>
      <c r="H4" s="50"/>
      <c r="I4" s="53" t="s">
        <v>142</v>
      </c>
      <c r="J4" s="50"/>
      <c r="K4" s="54" t="s">
        <v>31</v>
      </c>
      <c r="L4" s="49"/>
      <c r="M4" s="50"/>
    </row>
    <row r="5" ht="30.0" customHeight="1">
      <c r="B5" s="55">
        <f>COUNTA(Cleaned_Data!A2:A16)</f>
        <v>15</v>
      </c>
      <c r="C5" s="56"/>
      <c r="D5" s="57"/>
      <c r="E5" s="58">
        <f>COUNTIF(Cleaned_Data!K2:K16, "Pending")</f>
        <v>3</v>
      </c>
      <c r="F5" s="57"/>
      <c r="G5" s="59">
        <f>COUNTIF(Cleaned_Data!K2:K16, "Approved")</f>
        <v>10</v>
      </c>
      <c r="H5" s="57"/>
      <c r="I5" s="60">
        <f>COUNTIF(Cleaned_Data!K2:K16, "Rejected")</f>
        <v>2</v>
      </c>
      <c r="J5" s="57"/>
      <c r="K5" s="61">
        <f>SUM(Cleaned_Data!I2:I16)</f>
        <v>34</v>
      </c>
      <c r="L5" s="56"/>
      <c r="M5" s="57"/>
    </row>
    <row r="7" ht="15.0" customHeight="1"/>
    <row r="25" ht="15.0" customHeight="1"/>
    <row r="26">
      <c r="B26" s="62" t="s">
        <v>143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4"/>
    </row>
    <row r="27">
      <c r="B27" s="65" t="s">
        <v>144</v>
      </c>
      <c r="C27" s="66"/>
      <c r="D27" s="67" t="s">
        <v>145</v>
      </c>
      <c r="E27" s="68"/>
      <c r="F27" s="68"/>
      <c r="G27" s="68"/>
      <c r="H27" s="68"/>
      <c r="I27" s="68"/>
      <c r="J27" s="68"/>
      <c r="K27" s="68"/>
      <c r="L27" s="68"/>
      <c r="M27" s="69"/>
    </row>
    <row r="28">
      <c r="B28" s="70" t="s">
        <v>146</v>
      </c>
      <c r="C28" s="66"/>
      <c r="D28" s="71" t="s">
        <v>147</v>
      </c>
      <c r="E28" s="68"/>
      <c r="F28" s="68"/>
      <c r="G28" s="68"/>
      <c r="H28" s="68"/>
      <c r="I28" s="68"/>
      <c r="J28" s="68"/>
      <c r="K28" s="68"/>
      <c r="L28" s="68"/>
      <c r="M28" s="69"/>
    </row>
    <row r="29">
      <c r="B29" s="72" t="s">
        <v>148</v>
      </c>
      <c r="C29" s="66"/>
      <c r="D29" s="73" t="s">
        <v>149</v>
      </c>
      <c r="E29" s="68"/>
      <c r="F29" s="68"/>
      <c r="G29" s="68"/>
      <c r="H29" s="68"/>
      <c r="I29" s="68"/>
      <c r="J29" s="68"/>
      <c r="K29" s="68"/>
      <c r="L29" s="68"/>
      <c r="M29" s="69"/>
    </row>
    <row r="30">
      <c r="B30" s="70" t="s">
        <v>150</v>
      </c>
      <c r="C30" s="66"/>
      <c r="D30" s="71" t="s">
        <v>151</v>
      </c>
      <c r="E30" s="68"/>
      <c r="F30" s="68"/>
      <c r="G30" s="68"/>
      <c r="H30" s="68"/>
      <c r="I30" s="68"/>
      <c r="J30" s="68"/>
      <c r="K30" s="68"/>
      <c r="L30" s="68"/>
      <c r="M30" s="69"/>
    </row>
    <row r="31">
      <c r="B31" s="72" t="s">
        <v>152</v>
      </c>
      <c r="C31" s="66"/>
      <c r="D31" s="73" t="s">
        <v>153</v>
      </c>
      <c r="E31" s="68"/>
      <c r="F31" s="68"/>
      <c r="G31" s="68"/>
      <c r="H31" s="68"/>
      <c r="I31" s="68"/>
      <c r="J31" s="68"/>
      <c r="K31" s="68"/>
      <c r="L31" s="68"/>
      <c r="M31" s="69"/>
    </row>
    <row r="32">
      <c r="B32" s="70" t="s">
        <v>154</v>
      </c>
      <c r="C32" s="66"/>
      <c r="D32" s="71" t="s">
        <v>155</v>
      </c>
      <c r="E32" s="68"/>
      <c r="F32" s="68"/>
      <c r="G32" s="68"/>
      <c r="H32" s="68"/>
      <c r="I32" s="68"/>
      <c r="J32" s="68"/>
      <c r="K32" s="68"/>
      <c r="L32" s="68"/>
      <c r="M32" s="69"/>
    </row>
    <row r="33">
      <c r="B33" s="72" t="s">
        <v>156</v>
      </c>
      <c r="C33" s="66"/>
      <c r="D33" s="73" t="s">
        <v>157</v>
      </c>
      <c r="E33" s="68"/>
      <c r="F33" s="68"/>
      <c r="G33" s="68"/>
      <c r="H33" s="68"/>
      <c r="I33" s="68"/>
      <c r="J33" s="68"/>
      <c r="K33" s="68"/>
      <c r="L33" s="68"/>
      <c r="M33" s="69"/>
    </row>
    <row r="34">
      <c r="B34" s="70" t="s">
        <v>158</v>
      </c>
      <c r="C34" s="66"/>
      <c r="D34" s="71" t="s">
        <v>159</v>
      </c>
      <c r="E34" s="68"/>
      <c r="F34" s="68"/>
      <c r="G34" s="68"/>
      <c r="H34" s="68"/>
      <c r="I34" s="68"/>
      <c r="J34" s="68"/>
      <c r="K34" s="68"/>
      <c r="L34" s="68"/>
      <c r="M34" s="69"/>
    </row>
    <row r="35">
      <c r="B35" s="74" t="s">
        <v>160</v>
      </c>
      <c r="C35" s="75"/>
      <c r="D35" s="76" t="s">
        <v>161</v>
      </c>
      <c r="E35" s="77"/>
      <c r="F35" s="77"/>
      <c r="G35" s="77"/>
      <c r="H35" s="77"/>
      <c r="I35" s="77"/>
      <c r="J35" s="77"/>
      <c r="K35" s="77"/>
      <c r="L35" s="77"/>
      <c r="M35" s="78"/>
    </row>
  </sheetData>
  <mergeCells count="31">
    <mergeCell ref="B2:M2"/>
    <mergeCell ref="B3:M3"/>
    <mergeCell ref="B4:D4"/>
    <mergeCell ref="E4:F4"/>
    <mergeCell ref="G4:H4"/>
    <mergeCell ref="I4:J4"/>
    <mergeCell ref="K4:M4"/>
    <mergeCell ref="D28:M28"/>
    <mergeCell ref="D29:M29"/>
    <mergeCell ref="D30:M30"/>
    <mergeCell ref="D31:M31"/>
    <mergeCell ref="D32:M32"/>
    <mergeCell ref="D33:M33"/>
    <mergeCell ref="D34:M34"/>
    <mergeCell ref="D35:M35"/>
    <mergeCell ref="B5:D5"/>
    <mergeCell ref="E5:F5"/>
    <mergeCell ref="G5:H5"/>
    <mergeCell ref="I5:J5"/>
    <mergeCell ref="K5:M5"/>
    <mergeCell ref="B26:M26"/>
    <mergeCell ref="D27:M27"/>
    <mergeCell ref="B34:C34"/>
    <mergeCell ref="B35:C35"/>
    <mergeCell ref="B27:C27"/>
    <mergeCell ref="B28:C28"/>
    <mergeCell ref="B29:C29"/>
    <mergeCell ref="B30:C30"/>
    <mergeCell ref="B31:C31"/>
    <mergeCell ref="B32:C32"/>
    <mergeCell ref="B33:C33"/>
  </mergeCells>
  <drawing r:id="rId1"/>
</worksheet>
</file>