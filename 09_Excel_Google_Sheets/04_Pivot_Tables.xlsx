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" sheetId="1" r:id="rId5"/>
    <sheet state="visible" name="Pivot_Department" sheetId="2" r:id="rId6"/>
    <sheet state="visible" name="Pivot_Leave_Type" sheetId="3" r:id="rId7"/>
    <sheet state="visible" name="Pivot_Status" sheetId="4" r:id="rId8"/>
    <sheet state="visible" name="Pivot_Monthly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<sst xmlns="http://schemas.openxmlformats.org/spreadsheetml/2006/main" count="166" uniqueCount="80">
  <si>
    <t>Request_ID</t>
  </si>
  <si>
    <t>Employee_ID</t>
  </si>
  <si>
    <t>Employee_Name</t>
  </si>
  <si>
    <t>Department</t>
  </si>
  <si>
    <t>Manager</t>
  </si>
  <si>
    <t>Leave_Type</t>
  </si>
  <si>
    <t>Start_Date</t>
  </si>
  <si>
    <t>End_Date</t>
  </si>
  <si>
    <t>Requested_Days</t>
  </si>
  <si>
    <t>Reason</t>
  </si>
  <si>
    <t>Status</t>
  </si>
  <si>
    <t>Submitted_Date</t>
  </si>
  <si>
    <t>Duplicate_Check</t>
  </si>
  <si>
    <t>Data_Check</t>
  </si>
  <si>
    <t>Days_Check</t>
  </si>
  <si>
    <t>Month</t>
  </si>
  <si>
    <t>LR001</t>
  </si>
  <si>
    <t>E001</t>
  </si>
  <si>
    <t>Sarah Jenkins</t>
  </si>
  <si>
    <t>IT</t>
  </si>
  <si>
    <t>Marcus Vance</t>
  </si>
  <si>
    <t>Annual Leave</t>
  </si>
  <si>
    <t>Family vacation</t>
  </si>
  <si>
    <t>Pending</t>
  </si>
  <si>
    <t>LR002</t>
  </si>
  <si>
    <t>E005</t>
  </si>
  <si>
    <t>Alex Morgan</t>
  </si>
  <si>
    <t>Personal travel</t>
  </si>
  <si>
    <t>Approved</t>
  </si>
  <si>
    <t>LR003</t>
  </si>
  <si>
    <t>E006</t>
  </si>
  <si>
    <t>James Wilson</t>
  </si>
  <si>
    <t>Finance</t>
  </si>
  <si>
    <t>Daniel Kim</t>
  </si>
  <si>
    <t>Sick Leave</t>
  </si>
  <si>
    <t>Medical treatment</t>
  </si>
  <si>
    <t>LR004</t>
  </si>
  <si>
    <t>E007</t>
  </si>
  <si>
    <t>Olivia Brown</t>
  </si>
  <si>
    <t>Casual Leave</t>
  </si>
  <si>
    <t>Personal matter</t>
  </si>
  <si>
    <t>Rejected</t>
  </si>
  <si>
    <t>LR005</t>
  </si>
  <si>
    <t>Fever and rest</t>
  </si>
  <si>
    <t>LR006</t>
  </si>
  <si>
    <t>Personal work</t>
  </si>
  <si>
    <t>LR007</t>
  </si>
  <si>
    <t>Family trip</t>
  </si>
  <si>
    <t>LR008</t>
  </si>
  <si>
    <t>Holiday</t>
  </si>
  <si>
    <t>LR009</t>
  </si>
  <si>
    <t>E002</t>
  </si>
  <si>
    <t>None</t>
  </si>
  <si>
    <t>Personal vacation</t>
  </si>
  <si>
    <t>LR010</t>
  </si>
  <si>
    <t>E008</t>
  </si>
  <si>
    <t>Medical rest</t>
  </si>
  <si>
    <t>LR011</t>
  </si>
  <si>
    <t>E004</t>
  </si>
  <si>
    <t>David Sterling</t>
  </si>
  <si>
    <t>HR</t>
  </si>
  <si>
    <t>Elena Rostova</t>
  </si>
  <si>
    <t>Family event</t>
  </si>
  <si>
    <t>LR012</t>
  </si>
  <si>
    <t>E003</t>
  </si>
  <si>
    <t>LR013</t>
  </si>
  <si>
    <t>Personal appointment</t>
  </si>
  <si>
    <t>LR014</t>
  </si>
  <si>
    <t>Illness</t>
  </si>
  <si>
    <t>LR015</t>
  </si>
  <si>
    <t>Count of Request_ID</t>
  </si>
  <si>
    <t>Sum of Requested_Days</t>
  </si>
  <si>
    <t>Grand Total</t>
  </si>
  <si>
    <t>Aug</t>
  </si>
  <si>
    <t>Jul</t>
  </si>
  <si>
    <t>Jun</t>
  </si>
  <si>
    <t>May</t>
  </si>
  <si>
    <t>Nov</t>
  </si>
  <si>
    <t>Oct</t>
  </si>
  <si>
    <t>Sep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</si>
</sst>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2" numFmtId="3" xfId="0" applyFont="1" applyNumberForma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2">
    <tableStyle count="4" pivot="0" name="Cleaned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6" sheet="Cleaned_Data"/>
  </cacheSource>
  <cacheFields>
    <cacheField name="Request_ID" numFmtId="0">
      <sharedItems>
        <s v="LR001"/>
        <s v="LR002"/>
        <s v="LR003"/>
        <s v="LR004"/>
        <s v="LR005"/>
        <s v="LR006"/>
        <s v="LR007"/>
        <s v="LR008"/>
        <s v="LR009"/>
        <s v="LR010"/>
        <s v="LR011"/>
        <s v="LR012"/>
        <s v="LR013"/>
        <s v="LR014"/>
        <s v="LR015"/>
      </sharedItems>
    </cacheField>
    <cacheField name="Employee_ID" numFmtId="0">
      <sharedItems>
        <s v="E001"/>
        <s v="E005"/>
        <s v="E006"/>
        <s v="E007"/>
        <s v="E002"/>
        <s v="E008"/>
        <s v="E004"/>
        <s v="E003"/>
      </sharedItems>
    </cacheField>
    <cacheField name="Employee_Name" numFmtId="0">
      <sharedItems>
        <s v="Sarah Jenkins"/>
        <s v="Alex Morgan"/>
        <s v="James Wilson"/>
        <s v="Olivia Brown"/>
        <s v="Marcus Vance"/>
        <s v="Daniel Kim"/>
        <s v="David Sterling"/>
        <s v="Elena Rostova"/>
      </sharedItems>
    </cacheField>
    <cacheField name="Department" numFmtId="0">
      <sharedItems>
        <s v="IT"/>
        <s v="Finance"/>
        <s v="HR"/>
      </sharedItems>
    </cacheField>
    <cacheField name="Manager" numFmtId="0">
      <sharedItems>
        <s v="Marcus Vance"/>
        <s v="Daniel Kim"/>
        <s v="None"/>
        <s v="Elena Rostova"/>
      </sharedItems>
    </cacheField>
    <cacheField name="Leave_Type" numFmtId="0">
      <sharedItems>
        <s v="Annual Leave"/>
        <s v="Sick Leave"/>
        <s v="Casual Leave"/>
      </sharedItems>
    </cacheField>
    <cacheField name="Start_Date" numFmtId="164">
      <sharedItems containsSemiMixedTypes="0" containsDate="1" containsString="0">
        <d v="2026-09-28T00:00:00Z"/>
        <d v="2026-10-05T00:00:00Z"/>
        <d v="2026-09-15T00:00:00Z"/>
        <d v="2026-09-22T00:00:00Z"/>
        <d v="2026-08-10T00:00:00Z"/>
        <d v="2026-08-20T00:00:00Z"/>
        <d v="2026-11-02T00:00:00Z"/>
        <d v="2026-07-10T00:00:00Z"/>
        <d v="2026-06-15T00:00:00Z"/>
        <d v="2026-05-11T00:00:00Z"/>
        <d v="2026-08-03T00:00:00Z"/>
        <d v="2026-09-10T00:00:00Z"/>
        <d v="2026-10-15T00:00:00Z"/>
        <d v="2026-09-05T00:00:00Z"/>
        <d v="2026-10-12T00:00:00Z"/>
      </sharedItems>
    </cacheField>
    <cacheField name="End_Date" numFmtId="164">
      <sharedItems containsSemiMixedTypes="0" containsDate="1" containsString="0">
        <d v="2026-09-30T00:00:00Z"/>
        <d v="2026-10-07T00:00:00Z"/>
        <d v="2026-09-16T00:00:00Z"/>
        <d v="2026-09-22T00:00:00Z"/>
        <d v="2026-08-11T00:00:00Z"/>
        <d v="2026-08-20T00:00:00Z"/>
        <d v="2026-11-05T00:00:00Z"/>
        <d v="2026-07-12T00:00:00Z"/>
        <d v="2026-06-19T00:00:00Z"/>
        <d v="2026-05-12T00:00:00Z"/>
        <d v="2026-08-05T00:00:00Z"/>
        <d v="2026-09-10T00:00:00Z"/>
        <d v="2026-10-15T00:00:00Z"/>
        <d v="2026-09-06T00:00:00Z"/>
        <d v="2026-10-12T00:00:00Z"/>
      </sharedItems>
    </cacheField>
    <cacheField name="Requested_Days" numFmtId="3">
      <sharedItems containsSemiMixedTypes="0" containsString="0" containsNumber="1" containsInteger="1">
        <n v="3.0"/>
        <n v="2.0"/>
        <n v="1.0"/>
        <n v="4.0"/>
        <n v="5.0"/>
      </sharedItems>
    </cacheField>
    <cacheField name="Reason" numFmtId="0">
      <sharedItems>
        <s v="Family vacation"/>
        <s v="Personal travel"/>
        <s v="Medical treatment"/>
        <s v="Personal matter"/>
        <s v="Fever and rest"/>
        <s v="Personal work"/>
        <s v="Family trip"/>
        <s v="Holiday"/>
        <s v="Personal vacation"/>
        <s v="Medical rest"/>
        <s v="Family event"/>
        <s v="Personal appointment"/>
        <s v="Illness"/>
      </sharedItems>
    </cacheField>
    <cacheField name="Status" numFmtId="0">
      <sharedItems>
        <s v="Pending"/>
        <s v="Approved"/>
        <s v="Rejected"/>
      </sharedItems>
    </cacheField>
    <cacheField name="Submitted_Date" numFmtId="164">
      <sharedItems containsSemiMixedTypes="0" containsDate="1" containsString="0">
        <d v="2026-09-20T00:00:00Z"/>
        <d v="2026-09-18T00:00:00Z"/>
        <d v="2026-09-14T00:00:00Z"/>
        <d v="2026-08-09T00:00:00Z"/>
        <d v="2026-08-18T00:00:00Z"/>
        <d v="2026-10-20T00:00:00Z"/>
        <d v="2026-07-01T00:00:00Z"/>
        <d v="2026-06-01T00:00:00Z"/>
        <d v="2026-05-09T00:00:00Z"/>
        <d v="2026-07-25T00:00:00Z"/>
        <d v="2026-09-05T00:00:00Z"/>
        <d v="2026-10-01T00:00:00Z"/>
        <d v="2026-09-04T00:00:00Z"/>
        <d v="2026-10-05T00:00:00Z"/>
      </sharedItems>
    </cacheField>
    <cacheField name="Duplicate_Check" numFmtId="0">
      <sharedItems>
        <b v="0"/>
      </sharedItems>
    </cacheField>
    <cacheField name="Data_Check" numFmtId="0">
      <sharedItems>
        <s v="OK"/>
      </sharedItems>
    </cacheField>
    <cacheField name="Days_Check" numFmtId="0">
      <sharedItems>
        <s v="OK"/>
      </sharedItems>
    </cacheField>
    <cacheField name="Month" numFmtId="0">
      <sharedItems>
        <s v="Sep"/>
        <s v="Oct"/>
        <s v="Aug"/>
        <s v="Nov"/>
        <s v="Jul"/>
        <s v="Jun"/>
        <s v="Ma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Department" cacheId="0" dataCaption="" compact="0" compactData="0">
  <location ref="A1:C5" firstHeaderRow="0" firstDataRow="2" firstDataCol="0"/>
  <pivotFields>
    <pivotField name="Reques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partment" axis="axisRow" compact="0" outline="0" multipleItemSelectionAllowed="1" showAll="0" sortType="ascending">
      <items>
        <item x="1"/>
        <item x="2"/>
        <item x="0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t="default"/>
      </items>
    </pivotField>
    <pivotField name="Leave_Type" compact="0" outline="0" multipleItemSelectionAllowed="1" showAll="0">
      <items>
        <item x="0"/>
        <item x="1"/>
        <item x="2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quested_Days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ubmit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uplicate_Check" compact="0" outline="0" multipleItemSelectionAllowed="1" showAll="0">
      <items>
        <item x="0"/>
        <item t="default"/>
      </items>
    </pivotField>
    <pivotField name="Data_Check" compact="0" outline="0" multipleItemSelectionAllowed="1" showAll="0">
      <items>
        <item x="0"/>
        <item t="default"/>
      </items>
    </pivotField>
    <pivotField name="Days_Check" compact="0" outline="0" multipleItemSelectionAllowed="1" showAll="0">
      <items>
        <item x="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3"/>
  </rowFields>
  <colFields>
    <field x="-2"/>
  </colFields>
  <dataFields>
    <dataField name="Count of Request_ID" fld="0" subtotal="count" baseField="0"/>
    <dataField name="Sum of Requested_Days" fld="8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Pivot_Leave_Type" cacheId="0" dataCaption="" compact="0" compactData="0">
  <location ref="A1:C5" firstHeaderRow="0" firstDataRow="2" firstDataCol="0"/>
  <pivotFields>
    <pivotField name="Reques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t="default"/>
      </items>
    </pivotField>
    <pivotField name="Leave_Type" axis="axisRow" compact="0" outline="0" multipleItemSelectionAllowed="1" showAll="0" sortType="ascending">
      <items>
        <item x="0"/>
        <item x="2"/>
        <item x="1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quested_Days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ubmit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uplicate_Check" compact="0" outline="0" multipleItemSelectionAllowed="1" showAll="0">
      <items>
        <item x="0"/>
        <item t="default"/>
      </items>
    </pivotField>
    <pivotField name="Data_Check" compact="0" outline="0" multipleItemSelectionAllowed="1" showAll="0">
      <items>
        <item x="0"/>
        <item t="default"/>
      </items>
    </pivotField>
    <pivotField name="Days_Check" compact="0" outline="0" multipleItemSelectionAllowed="1" showAll="0">
      <items>
        <item x="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5"/>
  </rowFields>
  <colFields>
    <field x="-2"/>
  </colFields>
  <dataFields>
    <dataField name="Count of Request_ID" fld="0" subtotal="count" baseField="0"/>
    <dataField name="Sum of Requested_Days" fld="8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Pivot_Status" cacheId="0" dataCaption="" compact="0" compactData="0">
  <location ref="A1:B5" firstHeaderRow="0" firstDataRow="1" firstDataCol="0"/>
  <pivotFields>
    <pivotField name="Reques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t="default"/>
      </items>
    </pivotField>
    <pivotField name="Leave_Type" compact="0" outline="0" multipleItemSelectionAllowed="1" showAll="0">
      <items>
        <item x="0"/>
        <item x="1"/>
        <item x="2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quested_Days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atus" axis="axisRow" compact="0" outline="0" multipleItemSelectionAllowed="1" showAll="0" sortType="ascending">
      <items>
        <item x="1"/>
        <item x="0"/>
        <item x="2"/>
        <item t="default"/>
      </items>
    </pivotField>
    <pivotField name="Submit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uplicate_Check" compact="0" outline="0" multipleItemSelectionAllowed="1" showAll="0">
      <items>
        <item x="0"/>
        <item t="default"/>
      </items>
    </pivotField>
    <pivotField name="Data_Check" compact="0" outline="0" multipleItemSelectionAllowed="1" showAll="0">
      <items>
        <item x="0"/>
        <item t="default"/>
      </items>
    </pivotField>
    <pivotField name="Days_Check" compact="0" outline="0" multipleItemSelectionAllowed="1" showAll="0">
      <items>
        <item x="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0"/>
  </rowFields>
  <dataFields>
    <dataField name="Count of Request_ID" fld="0" subtotal="count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Pivot_Monthly" cacheId="0" dataCaption="" compact="0" compactData="0">
  <location ref="A1:B9" firstHeaderRow="0" firstDataRow="1" firstDataCol="0"/>
  <pivotFields>
    <pivotField name="Reques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t="default"/>
      </items>
    </pivotField>
    <pivotField name="Leave_Type" compact="0" outline="0" multipleItemSelectionAllowed="1" showAll="0">
      <items>
        <item x="0"/>
        <item x="1"/>
        <item x="2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quested_Days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ubmit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uplicate_Check" compact="0" outline="0" multipleItemSelectionAllowed="1" showAll="0">
      <items>
        <item x="0"/>
        <item t="default"/>
      </items>
    </pivotField>
    <pivotField name="Data_Check" compact="0" outline="0" multipleItemSelectionAllowed="1" showAll="0">
      <items>
        <item x="0"/>
        <item t="default"/>
      </items>
    </pivotField>
    <pivotField name="Days_Check" compact="0" outline="0" multipleItemSelectionAllowed="1" showAll="0">
      <items>
        <item x="0"/>
        <item t="default"/>
      </items>
    </pivotField>
    <pivotField name="Month" axis="axisRow" compact="0" outline="0" multipleItemSelectionAllowed="1" showAll="0" sortType="ascending">
      <items>
        <item x="2"/>
        <item x="4"/>
        <item x="5"/>
        <item x="6"/>
        <item x="3"/>
        <item x="1"/>
        <item x="0"/>
        <item t="default"/>
      </items>
    </pivotField>
  </pivotFields>
  <rowFields>
    <field x="15"/>
  </rowFields>
  <dataFields>
    <dataField name="Sum of Requested_Days" fld="8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O16" displayName="Leave_Requests" name="Leave_Requests" id="1">
  <tableColumns count="15">
    <tableColumn name="Request_ID" id="1"/>
    <tableColumn name="Employee_ID" id="2"/>
    <tableColumn name="Employee_Name" id="3"/>
    <tableColumn name="Department" id="4"/>
    <tableColumn name="Manager" id="5"/>
    <tableColumn name="Leave_Type" id="6"/>
    <tableColumn name="Start_Date" id="7"/>
    <tableColumn name="End_Date" id="8"/>
    <tableColumn name="Requested_Days" id="9"/>
    <tableColumn name="Reason" id="10"/>
    <tableColumn name="Status" id="11"/>
    <tableColumn name="Submitted_Date" id="12"/>
    <tableColumn name="Duplicate_Check" id="13"/>
    <tableColumn name="Data_Check" id="14"/>
    <tableColumn name="Days_Check" id="15"/>
  </tableColumns>
  <tableStyleInfo name="Cleaned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2.0"/>
    <col customWidth="1" min="3" max="3" width="15.0"/>
    <col customWidth="1" min="4" max="5" width="11.25"/>
    <col customWidth="1" min="6" max="6" width="11.13"/>
    <col customWidth="1" min="7" max="8" width="10.38"/>
    <col customWidth="1" min="9" max="9" width="14.88"/>
    <col customWidth="1" min="10" max="10" width="18.13"/>
    <col customWidth="1" min="11" max="11" width="7.88"/>
    <col customWidth="1" min="12" max="12" width="14.38"/>
    <col customWidth="1" min="13" max="13" width="15.0"/>
    <col customWidth="1" min="14" max="14" width="11.25"/>
    <col customWidth="1" min="15" max="15" width="11.5"/>
    <col customWidth="1" min="16" max="16" width="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ht="22.5" customHeight="1">
      <c r="A2" s="3" t="s">
        <v>16</v>
      </c>
      <c r="B2" s="3" t="s">
        <v>17</v>
      </c>
      <c r="C2" s="3" t="s">
        <v>18</v>
      </c>
      <c r="D2" s="4" t="s">
        <v>19</v>
      </c>
      <c r="E2" s="4" t="s">
        <v>20</v>
      </c>
      <c r="F2" s="4" t="s">
        <v>21</v>
      </c>
      <c r="G2" s="5">
        <v>46293.0</v>
      </c>
      <c r="H2" s="5">
        <v>46295.0</v>
      </c>
      <c r="I2" s="6">
        <v>3.0</v>
      </c>
      <c r="J2" s="3" t="s">
        <v>22</v>
      </c>
      <c r="K2" s="4" t="s">
        <v>23</v>
      </c>
      <c r="L2" s="5">
        <v>46285.0</v>
      </c>
      <c r="M2" s="7" t="b">
        <f t="shared" ref="M2:M16" si="1">COUNTIF($A:$A,A2)&gt;1</f>
        <v>0</v>
      </c>
      <c r="N2" s="7" t="str">
        <f t="shared" ref="N2:N16" si="2">IF(OR(A2="",B2="",C2="",D2="",G2="",H2="",I2="",K2=""),"Check","OK")</f>
        <v>OK</v>
      </c>
      <c r="O2" s="7" t="str">
        <f t="shared" ref="O2:O16" si="3">IF(I2&gt;0,"OK","Check")</f>
        <v>OK</v>
      </c>
      <c r="P2" s="8" t="str">
        <f t="shared" ref="P2:P16" si="4">TEXT(G2,"mmm")</f>
        <v>Sep</v>
      </c>
    </row>
    <row r="3" ht="22.5" customHeight="1">
      <c r="A3" s="3" t="s">
        <v>24</v>
      </c>
      <c r="B3" s="3" t="s">
        <v>25</v>
      </c>
      <c r="C3" s="3" t="s">
        <v>26</v>
      </c>
      <c r="D3" s="4" t="s">
        <v>19</v>
      </c>
      <c r="E3" s="4" t="s">
        <v>20</v>
      </c>
      <c r="F3" s="4" t="s">
        <v>21</v>
      </c>
      <c r="G3" s="5">
        <v>46300.0</v>
      </c>
      <c r="H3" s="5">
        <v>46302.0</v>
      </c>
      <c r="I3" s="6">
        <v>3.0</v>
      </c>
      <c r="J3" s="3" t="s">
        <v>27</v>
      </c>
      <c r="K3" s="4" t="s">
        <v>28</v>
      </c>
      <c r="L3" s="5">
        <v>46283.0</v>
      </c>
      <c r="M3" s="7" t="b">
        <f t="shared" si="1"/>
        <v>0</v>
      </c>
      <c r="N3" s="7" t="str">
        <f t="shared" si="2"/>
        <v>OK</v>
      </c>
      <c r="O3" s="7" t="str">
        <f t="shared" si="3"/>
        <v>OK</v>
      </c>
      <c r="P3" s="8" t="str">
        <f t="shared" si="4"/>
        <v>Oct</v>
      </c>
    </row>
    <row r="4" ht="22.5" customHeight="1">
      <c r="A4" s="3" t="s">
        <v>29</v>
      </c>
      <c r="B4" s="3" t="s">
        <v>30</v>
      </c>
      <c r="C4" s="3" t="s">
        <v>31</v>
      </c>
      <c r="D4" s="4" t="s">
        <v>32</v>
      </c>
      <c r="E4" s="4" t="s">
        <v>33</v>
      </c>
      <c r="F4" s="4" t="s">
        <v>34</v>
      </c>
      <c r="G4" s="5">
        <v>46280.0</v>
      </c>
      <c r="H4" s="5">
        <v>46281.0</v>
      </c>
      <c r="I4" s="6">
        <v>2.0</v>
      </c>
      <c r="J4" s="3" t="s">
        <v>35</v>
      </c>
      <c r="K4" s="4" t="s">
        <v>28</v>
      </c>
      <c r="L4" s="5">
        <v>46279.0</v>
      </c>
      <c r="M4" s="7" t="b">
        <f t="shared" si="1"/>
        <v>0</v>
      </c>
      <c r="N4" s="7" t="str">
        <f t="shared" si="2"/>
        <v>OK</v>
      </c>
      <c r="O4" s="7" t="str">
        <f t="shared" si="3"/>
        <v>OK</v>
      </c>
      <c r="P4" s="8" t="str">
        <f t="shared" si="4"/>
        <v>Sep</v>
      </c>
    </row>
    <row r="5" ht="22.5" customHeight="1">
      <c r="A5" s="3" t="s">
        <v>36</v>
      </c>
      <c r="B5" s="3" t="s">
        <v>37</v>
      </c>
      <c r="C5" s="3" t="s">
        <v>38</v>
      </c>
      <c r="D5" s="4" t="s">
        <v>32</v>
      </c>
      <c r="E5" s="4" t="s">
        <v>33</v>
      </c>
      <c r="F5" s="4" t="s">
        <v>39</v>
      </c>
      <c r="G5" s="5">
        <v>46287.0</v>
      </c>
      <c r="H5" s="5">
        <v>46287.0</v>
      </c>
      <c r="I5" s="6">
        <v>1.0</v>
      </c>
      <c r="J5" s="3" t="s">
        <v>40</v>
      </c>
      <c r="K5" s="4" t="s">
        <v>41</v>
      </c>
      <c r="L5" s="5">
        <v>46283.0</v>
      </c>
      <c r="M5" s="7" t="b">
        <f t="shared" si="1"/>
        <v>0</v>
      </c>
      <c r="N5" s="7" t="str">
        <f t="shared" si="2"/>
        <v>OK</v>
      </c>
      <c r="O5" s="7" t="str">
        <f t="shared" si="3"/>
        <v>OK</v>
      </c>
      <c r="P5" s="8" t="str">
        <f t="shared" si="4"/>
        <v>Sep</v>
      </c>
    </row>
    <row r="6" ht="22.5" customHeight="1">
      <c r="A6" s="3" t="s">
        <v>42</v>
      </c>
      <c r="B6" s="3" t="s">
        <v>17</v>
      </c>
      <c r="C6" s="3" t="s">
        <v>18</v>
      </c>
      <c r="D6" s="4" t="s">
        <v>19</v>
      </c>
      <c r="E6" s="4" t="s">
        <v>20</v>
      </c>
      <c r="F6" s="4" t="s">
        <v>34</v>
      </c>
      <c r="G6" s="5">
        <v>46244.0</v>
      </c>
      <c r="H6" s="5">
        <v>46245.0</v>
      </c>
      <c r="I6" s="6">
        <v>2.0</v>
      </c>
      <c r="J6" s="3" t="s">
        <v>43</v>
      </c>
      <c r="K6" s="4" t="s">
        <v>28</v>
      </c>
      <c r="L6" s="5">
        <v>46243.0</v>
      </c>
      <c r="M6" s="7" t="b">
        <f t="shared" si="1"/>
        <v>0</v>
      </c>
      <c r="N6" s="7" t="str">
        <f t="shared" si="2"/>
        <v>OK</v>
      </c>
      <c r="O6" s="7" t="str">
        <f t="shared" si="3"/>
        <v>OK</v>
      </c>
      <c r="P6" s="8" t="str">
        <f t="shared" si="4"/>
        <v>Aug</v>
      </c>
    </row>
    <row r="7" ht="22.5" customHeight="1">
      <c r="A7" s="3" t="s">
        <v>44</v>
      </c>
      <c r="B7" s="3" t="s">
        <v>25</v>
      </c>
      <c r="C7" s="3" t="s">
        <v>26</v>
      </c>
      <c r="D7" s="4" t="s">
        <v>19</v>
      </c>
      <c r="E7" s="4" t="s">
        <v>20</v>
      </c>
      <c r="F7" s="4" t="s">
        <v>39</v>
      </c>
      <c r="G7" s="5">
        <v>46254.0</v>
      </c>
      <c r="H7" s="5">
        <v>46254.0</v>
      </c>
      <c r="I7" s="6">
        <v>1.0</v>
      </c>
      <c r="J7" s="3" t="s">
        <v>45</v>
      </c>
      <c r="K7" s="4" t="s">
        <v>28</v>
      </c>
      <c r="L7" s="5">
        <v>46252.0</v>
      </c>
      <c r="M7" s="7" t="b">
        <f t="shared" si="1"/>
        <v>0</v>
      </c>
      <c r="N7" s="7" t="str">
        <f t="shared" si="2"/>
        <v>OK</v>
      </c>
      <c r="O7" s="7" t="str">
        <f t="shared" si="3"/>
        <v>OK</v>
      </c>
      <c r="P7" s="8" t="str">
        <f t="shared" si="4"/>
        <v>Aug</v>
      </c>
    </row>
    <row r="8" ht="22.5" customHeight="1">
      <c r="A8" s="3" t="s">
        <v>46</v>
      </c>
      <c r="B8" s="3" t="s">
        <v>30</v>
      </c>
      <c r="C8" s="3" t="s">
        <v>31</v>
      </c>
      <c r="D8" s="4" t="s">
        <v>32</v>
      </c>
      <c r="E8" s="4" t="s">
        <v>33</v>
      </c>
      <c r="F8" s="4" t="s">
        <v>21</v>
      </c>
      <c r="G8" s="5">
        <v>46328.0</v>
      </c>
      <c r="H8" s="5">
        <v>46331.0</v>
      </c>
      <c r="I8" s="6">
        <v>4.0</v>
      </c>
      <c r="J8" s="3" t="s">
        <v>47</v>
      </c>
      <c r="K8" s="4" t="s">
        <v>23</v>
      </c>
      <c r="L8" s="5">
        <v>46315.0</v>
      </c>
      <c r="M8" s="7" t="b">
        <f t="shared" si="1"/>
        <v>0</v>
      </c>
      <c r="N8" s="7" t="str">
        <f t="shared" si="2"/>
        <v>OK</v>
      </c>
      <c r="O8" s="7" t="str">
        <f t="shared" si="3"/>
        <v>OK</v>
      </c>
      <c r="P8" s="8" t="str">
        <f t="shared" si="4"/>
        <v>Nov</v>
      </c>
    </row>
    <row r="9" ht="22.5" customHeight="1">
      <c r="A9" s="3" t="s">
        <v>48</v>
      </c>
      <c r="B9" s="3" t="s">
        <v>37</v>
      </c>
      <c r="C9" s="3" t="s">
        <v>38</v>
      </c>
      <c r="D9" s="4" t="s">
        <v>32</v>
      </c>
      <c r="E9" s="4" t="s">
        <v>33</v>
      </c>
      <c r="F9" s="4" t="s">
        <v>21</v>
      </c>
      <c r="G9" s="5">
        <v>46213.0</v>
      </c>
      <c r="H9" s="5">
        <v>46215.0</v>
      </c>
      <c r="I9" s="6">
        <v>3.0</v>
      </c>
      <c r="J9" s="3" t="s">
        <v>49</v>
      </c>
      <c r="K9" s="4" t="s">
        <v>28</v>
      </c>
      <c r="L9" s="5">
        <v>46204.0</v>
      </c>
      <c r="M9" s="7" t="b">
        <f t="shared" si="1"/>
        <v>0</v>
      </c>
      <c r="N9" s="7" t="str">
        <f t="shared" si="2"/>
        <v>OK</v>
      </c>
      <c r="O9" s="7" t="str">
        <f t="shared" si="3"/>
        <v>OK</v>
      </c>
      <c r="P9" s="8" t="str">
        <f t="shared" si="4"/>
        <v>Jul</v>
      </c>
    </row>
    <row r="10" ht="22.5" customHeight="1">
      <c r="A10" s="3" t="s">
        <v>50</v>
      </c>
      <c r="B10" s="3" t="s">
        <v>51</v>
      </c>
      <c r="C10" s="3" t="s">
        <v>20</v>
      </c>
      <c r="D10" s="4" t="s">
        <v>19</v>
      </c>
      <c r="E10" s="4" t="s">
        <v>52</v>
      </c>
      <c r="F10" s="4" t="s">
        <v>21</v>
      </c>
      <c r="G10" s="5">
        <v>46188.0</v>
      </c>
      <c r="H10" s="5">
        <v>46192.0</v>
      </c>
      <c r="I10" s="6">
        <v>5.0</v>
      </c>
      <c r="J10" s="3" t="s">
        <v>53</v>
      </c>
      <c r="K10" s="4" t="s">
        <v>28</v>
      </c>
      <c r="L10" s="5">
        <v>46174.0</v>
      </c>
      <c r="M10" s="7" t="b">
        <f t="shared" si="1"/>
        <v>0</v>
      </c>
      <c r="N10" s="7" t="str">
        <f t="shared" si="2"/>
        <v>OK</v>
      </c>
      <c r="O10" s="7" t="str">
        <f t="shared" si="3"/>
        <v>OK</v>
      </c>
      <c r="P10" s="8" t="str">
        <f t="shared" si="4"/>
        <v>Jun</v>
      </c>
    </row>
    <row r="11" ht="22.5" customHeight="1">
      <c r="A11" s="3" t="s">
        <v>54</v>
      </c>
      <c r="B11" s="3" t="s">
        <v>55</v>
      </c>
      <c r="C11" s="3" t="s">
        <v>33</v>
      </c>
      <c r="D11" s="4" t="s">
        <v>32</v>
      </c>
      <c r="E11" s="4" t="s">
        <v>52</v>
      </c>
      <c r="F11" s="4" t="s">
        <v>34</v>
      </c>
      <c r="G11" s="5">
        <v>46153.0</v>
      </c>
      <c r="H11" s="5">
        <v>46154.0</v>
      </c>
      <c r="I11" s="6">
        <v>2.0</v>
      </c>
      <c r="J11" s="3" t="s">
        <v>56</v>
      </c>
      <c r="K11" s="4" t="s">
        <v>28</v>
      </c>
      <c r="L11" s="5">
        <v>46151.0</v>
      </c>
      <c r="M11" s="7" t="b">
        <f t="shared" si="1"/>
        <v>0</v>
      </c>
      <c r="N11" s="7" t="str">
        <f t="shared" si="2"/>
        <v>OK</v>
      </c>
      <c r="O11" s="7" t="str">
        <f t="shared" si="3"/>
        <v>OK</v>
      </c>
      <c r="P11" s="8" t="str">
        <f t="shared" si="4"/>
        <v>May</v>
      </c>
    </row>
    <row r="12" ht="22.5" customHeight="1">
      <c r="A12" s="3" t="s">
        <v>57</v>
      </c>
      <c r="B12" s="3" t="s">
        <v>58</v>
      </c>
      <c r="C12" s="3" t="s">
        <v>59</v>
      </c>
      <c r="D12" s="4" t="s">
        <v>60</v>
      </c>
      <c r="E12" s="4" t="s">
        <v>61</v>
      </c>
      <c r="F12" s="4" t="s">
        <v>21</v>
      </c>
      <c r="G12" s="5">
        <v>46237.0</v>
      </c>
      <c r="H12" s="5">
        <v>46239.0</v>
      </c>
      <c r="I12" s="6">
        <v>3.0</v>
      </c>
      <c r="J12" s="3" t="s">
        <v>62</v>
      </c>
      <c r="K12" s="4" t="s">
        <v>28</v>
      </c>
      <c r="L12" s="5">
        <v>46228.0</v>
      </c>
      <c r="M12" s="7" t="b">
        <f t="shared" si="1"/>
        <v>0</v>
      </c>
      <c r="N12" s="7" t="str">
        <f t="shared" si="2"/>
        <v>OK</v>
      </c>
      <c r="O12" s="7" t="str">
        <f t="shared" si="3"/>
        <v>OK</v>
      </c>
      <c r="P12" s="8" t="str">
        <f t="shared" si="4"/>
        <v>Aug</v>
      </c>
    </row>
    <row r="13" ht="22.5" customHeight="1">
      <c r="A13" s="3" t="s">
        <v>63</v>
      </c>
      <c r="B13" s="3" t="s">
        <v>64</v>
      </c>
      <c r="C13" s="3" t="s">
        <v>61</v>
      </c>
      <c r="D13" s="4" t="s">
        <v>60</v>
      </c>
      <c r="E13" s="4" t="s">
        <v>52</v>
      </c>
      <c r="F13" s="4" t="s">
        <v>39</v>
      </c>
      <c r="G13" s="5">
        <v>46275.0</v>
      </c>
      <c r="H13" s="5">
        <v>46275.0</v>
      </c>
      <c r="I13" s="6">
        <v>1.0</v>
      </c>
      <c r="J13" s="3" t="s">
        <v>45</v>
      </c>
      <c r="K13" s="4" t="s">
        <v>28</v>
      </c>
      <c r="L13" s="5">
        <v>46270.0</v>
      </c>
      <c r="M13" s="7" t="b">
        <f t="shared" si="1"/>
        <v>0</v>
      </c>
      <c r="N13" s="7" t="str">
        <f t="shared" si="2"/>
        <v>OK</v>
      </c>
      <c r="O13" s="7" t="str">
        <f t="shared" si="3"/>
        <v>OK</v>
      </c>
      <c r="P13" s="8" t="str">
        <f t="shared" si="4"/>
        <v>Sep</v>
      </c>
    </row>
    <row r="14" ht="22.5" customHeight="1">
      <c r="A14" s="3" t="s">
        <v>65</v>
      </c>
      <c r="B14" s="3" t="s">
        <v>17</v>
      </c>
      <c r="C14" s="3" t="s">
        <v>18</v>
      </c>
      <c r="D14" s="4" t="s">
        <v>19</v>
      </c>
      <c r="E14" s="4" t="s">
        <v>20</v>
      </c>
      <c r="F14" s="4" t="s">
        <v>39</v>
      </c>
      <c r="G14" s="5">
        <v>46310.0</v>
      </c>
      <c r="H14" s="5">
        <v>46310.0</v>
      </c>
      <c r="I14" s="6">
        <v>1.0</v>
      </c>
      <c r="J14" s="3" t="s">
        <v>66</v>
      </c>
      <c r="K14" s="4" t="s">
        <v>23</v>
      </c>
      <c r="L14" s="5">
        <v>46296.0</v>
      </c>
      <c r="M14" s="7" t="b">
        <f t="shared" si="1"/>
        <v>0</v>
      </c>
      <c r="N14" s="7" t="str">
        <f t="shared" si="2"/>
        <v>OK</v>
      </c>
      <c r="O14" s="7" t="str">
        <f t="shared" si="3"/>
        <v>OK</v>
      </c>
      <c r="P14" s="8" t="str">
        <f t="shared" si="4"/>
        <v>Oct</v>
      </c>
    </row>
    <row r="15" ht="22.5" customHeight="1">
      <c r="A15" s="3" t="s">
        <v>67</v>
      </c>
      <c r="B15" s="3" t="s">
        <v>25</v>
      </c>
      <c r="C15" s="3" t="s">
        <v>26</v>
      </c>
      <c r="D15" s="4" t="s">
        <v>19</v>
      </c>
      <c r="E15" s="4" t="s">
        <v>20</v>
      </c>
      <c r="F15" s="4" t="s">
        <v>34</v>
      </c>
      <c r="G15" s="5">
        <v>46270.0</v>
      </c>
      <c r="H15" s="5">
        <v>46271.0</v>
      </c>
      <c r="I15" s="6">
        <v>2.0</v>
      </c>
      <c r="J15" s="3" t="s">
        <v>68</v>
      </c>
      <c r="K15" s="4" t="s">
        <v>28</v>
      </c>
      <c r="L15" s="5">
        <v>46269.0</v>
      </c>
      <c r="M15" s="7" t="b">
        <f t="shared" si="1"/>
        <v>0</v>
      </c>
      <c r="N15" s="7" t="str">
        <f t="shared" si="2"/>
        <v>OK</v>
      </c>
      <c r="O15" s="7" t="str">
        <f t="shared" si="3"/>
        <v>OK</v>
      </c>
      <c r="P15" s="8" t="str">
        <f t="shared" si="4"/>
        <v>Sep</v>
      </c>
    </row>
    <row r="16" ht="22.5" customHeight="1">
      <c r="A16" s="3" t="s">
        <v>69</v>
      </c>
      <c r="B16" s="3" t="s">
        <v>30</v>
      </c>
      <c r="C16" s="3" t="s">
        <v>31</v>
      </c>
      <c r="D16" s="4" t="s">
        <v>32</v>
      </c>
      <c r="E16" s="4" t="s">
        <v>33</v>
      </c>
      <c r="F16" s="4" t="s">
        <v>39</v>
      </c>
      <c r="G16" s="5">
        <v>46307.0</v>
      </c>
      <c r="H16" s="5">
        <v>46307.0</v>
      </c>
      <c r="I16" s="6">
        <v>1.0</v>
      </c>
      <c r="J16" s="3" t="s">
        <v>40</v>
      </c>
      <c r="K16" s="4" t="s">
        <v>41</v>
      </c>
      <c r="L16" s="5">
        <v>46300.0</v>
      </c>
      <c r="M16" s="7" t="b">
        <f t="shared" si="1"/>
        <v>0</v>
      </c>
      <c r="N16" s="7" t="str">
        <f t="shared" si="2"/>
        <v>OK</v>
      </c>
      <c r="O16" s="7" t="str">
        <f t="shared" si="3"/>
        <v>OK</v>
      </c>
      <c r="P16" s="8" t="str">
        <f t="shared" si="4"/>
        <v>Oct</v>
      </c>
    </row>
  </sheetData>
  <dataValidations>
    <dataValidation type="list" allowBlank="1" showDropDown="1" showErrorMessage="1" sqref="D2:D16">
      <formula1>"IT,Finance,HR"</formula1>
    </dataValidation>
    <dataValidation type="list" allowBlank="1" showDropDown="1" showErrorMessage="1" sqref="F2:F16">
      <formula1>"Annual Leave,Sick Leave,Casual Leave"</formula1>
    </dataValidation>
    <dataValidation type="custom" allowBlank="1" showDropDown="1" sqref="G2:H16 L2:L16">
      <formula1>OR(NOT(ISERROR(DATEVALUE(G2))), AND(ISNUMBER(G2), LEFT(CELL("format", G2))="D"))</formula1>
    </dataValidation>
    <dataValidation type="custom" allowBlank="1" showDropDown="1" sqref="I2:I16">
      <formula1>AND(ISNUMBER(I2),(NOT(OR(NOT(ISERROR(DATEVALUE(I2))), AND(ISNUMBER(I2), LEFT(CELL("format", I2))="D")))))</formula1>
    </dataValidation>
    <dataValidation type="list" allowBlank="1" showDropDown="1" showErrorMessage="1" sqref="K2:K16">
      <formula1>"Pending,Approved,Rejected"</formula1>
    </dataValidation>
    <dataValidation type="list" allowBlank="1" showDropDown="1" showErrorMessage="1" sqref="E2:E16">
      <formula1>"Marcus Vance,Daniel Kim,None,Elena Rostova"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5.75"/>
    <col customWidth="1" min="3" max="3" width="18.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5.75"/>
    <col customWidth="1" min="3" max="3" width="18.5"/>
  </cols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5.75"/>
  </cols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8.5"/>
  </cols>
  <sheetData>
    <row r="1"/>
    <row r="2"/>
    <row r="3"/>
    <row r="4"/>
    <row r="5"/>
    <row r="6"/>
    <row r="7"/>
    <row r="8"/>
    <row r="9"/>
  </sheetData>
  <drawing r:id="rId2"/>
</worksheet>
</file>