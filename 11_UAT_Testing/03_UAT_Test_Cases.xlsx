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MS_UAT_Test_Cases" sheetId="1" r:id="rId5"/>
  </sheets>
  <definedNames/>
  <calcPr/>
</workbook>
</file>

<file path=xl/sharedStrings.xml><?xml version="1.0" encoding="utf-8"?>
<sst xmlns="http://schemas.openxmlformats.org/spreadsheetml/2006/main" count="275" uniqueCount="204">
  <si>
    <t>ELMS — User Acceptance Testing (UAT) Test Cases Specification</t>
  </si>
  <si>
    <t>Total Test Cases</t>
  </si>
  <si>
    <t>High Priority</t>
  </si>
  <si>
    <t>Medium Priority</t>
  </si>
  <si>
    <t>Target Roles</t>
  </si>
  <si>
    <t>Test Case ID</t>
  </si>
  <si>
    <t>Scenario ID</t>
  </si>
  <si>
    <t>Role</t>
  </si>
  <si>
    <t>Test Case</t>
  </si>
  <si>
    <t>Precondition</t>
  </si>
  <si>
    <t>Test Steps</t>
  </si>
  <si>
    <t>Test Data</t>
  </si>
  <si>
    <t>Expected Result</t>
  </si>
  <si>
    <t>Priority</t>
  </si>
  <si>
    <t>TC-001</t>
  </si>
  <si>
    <t>UAT-EMP-01</t>
  </si>
  <si>
    <t>Employee</t>
  </si>
  <si>
    <t>Login with valid credentials</t>
  </si>
  <si>
    <t>Employee account exists</t>
  </si>
  <si>
    <t>Enter username and password → Click Login</t>
  </si>
  <si>
    <t>Valid credentials</t>
  </si>
  <si>
    <t>Employee successfully logs in</t>
  </si>
  <si>
    <t>High</t>
  </si>
  <si>
    <t>TC-002</t>
  </si>
  <si>
    <t>UAT-EMP-02</t>
  </si>
  <si>
    <t>Login with invalid credentials</t>
  </si>
  <si>
    <t>Login page available</t>
  </si>
  <si>
    <t>Enter invalid credentials → Click Login</t>
  </si>
  <si>
    <t>Invalid credentials</t>
  </si>
  <si>
    <t>Error message displayed</t>
  </si>
  <si>
    <t>TC-003</t>
  </si>
  <si>
    <t>UAT-EMP-03</t>
  </si>
  <si>
    <t>View leave balance</t>
  </si>
  <si>
    <t>Employee logged in</t>
  </si>
  <si>
    <t>Open Leave Balance</t>
  </si>
  <si>
    <t>Employee account</t>
  </si>
  <si>
    <t>Current balance displayed</t>
  </si>
  <si>
    <t>TC-004</t>
  </si>
  <si>
    <t>UAT-EMP-04</t>
  </si>
  <si>
    <t>Submit normal leave request</t>
  </si>
  <si>
    <t>Sufficient balance</t>
  </si>
  <si>
    <t>Select leave type → Select dates → Submit</t>
  </si>
  <si>
    <t>Annual Leave, 2 days</t>
  </si>
  <si>
    <t>Request submitted successfully</t>
  </si>
  <si>
    <t>TC-005</t>
  </si>
  <si>
    <t>UAT-EMP-05</t>
  </si>
  <si>
    <t>Validate leave balance</t>
  </si>
  <si>
    <t>Employee has limited balance</t>
  </si>
  <si>
    <t>Submit request within/against balance</t>
  </si>
  <si>
    <t>Leave balance</t>
  </si>
  <si>
    <t>System validates balance</t>
  </si>
  <si>
    <t>TC-006</t>
  </si>
  <si>
    <t>UAT-EMP-06</t>
  </si>
  <si>
    <t>Submit request exceeding balance</t>
  </si>
  <si>
    <t>Employee balance known</t>
  </si>
  <si>
    <t>Request more days than available</t>
  </si>
  <si>
    <t>Excess leave days</t>
  </si>
  <si>
    <t>Request is prevented according to business rule</t>
  </si>
  <si>
    <t>TC-007</t>
  </si>
  <si>
    <t>UAT-EMP-07</t>
  </si>
  <si>
    <t>View request status</t>
  </si>
  <si>
    <t>Request exists</t>
  </si>
  <si>
    <t>Open My Requests</t>
  </si>
  <si>
    <t>Existing request</t>
  </si>
  <si>
    <t>Correct status displayed</t>
  </si>
  <si>
    <t>Medium</t>
  </si>
  <si>
    <t>TC-008</t>
  </si>
  <si>
    <t>UAT-EMP-08</t>
  </si>
  <si>
    <t>View leave history</t>
  </si>
  <si>
    <t>Employee has leave records</t>
  </si>
  <si>
    <t>Open Leave History</t>
  </si>
  <si>
    <t>Previous requests displayed</t>
  </si>
  <si>
    <t>TC-009</t>
  </si>
  <si>
    <t>UAT-EMP-09</t>
  </si>
  <si>
    <t>Cancel pending request</t>
  </si>
  <si>
    <t>Pending request exists</t>
  </si>
  <si>
    <t>Open request → Cancel</t>
  </si>
  <si>
    <t>Pending request</t>
  </si>
  <si>
    <t>Request cancelled successfully</t>
  </si>
  <si>
    <t>TC-010</t>
  </si>
  <si>
    <t>UAT-MGR-01</t>
  </si>
  <si>
    <t>Manager</t>
  </si>
  <si>
    <t>View pending requests</t>
  </si>
  <si>
    <t>Manager logged in</t>
  </si>
  <si>
    <t>Open Pending Requests</t>
  </si>
  <si>
    <t>Pending requests displayed</t>
  </si>
  <si>
    <t>TC-011</t>
  </si>
  <si>
    <t>UAT-MGR-02</t>
  </si>
  <si>
    <t>Review employee leave information</t>
  </si>
  <si>
    <t>Open request details</t>
  </si>
  <si>
    <t>Employee request</t>
  </si>
  <si>
    <t>Relevant leave information displayed</t>
  </si>
  <si>
    <t>TC-012</t>
  </si>
  <si>
    <t>UAT-MGR-03</t>
  </si>
  <si>
    <t>Approve leave request</t>
  </si>
  <si>
    <t>Open request → Approve</t>
  </si>
  <si>
    <t>Request becomes Approved</t>
  </si>
  <si>
    <t>TC-013</t>
  </si>
  <si>
    <t>UAT-MGR-04</t>
  </si>
  <si>
    <t>Reject leave request</t>
  </si>
  <si>
    <t>Open request → Reject</t>
  </si>
  <si>
    <t>Request becomes Rejected</t>
  </si>
  <si>
    <t>TC-014</t>
  </si>
  <si>
    <t>UAT-MGR-05</t>
  </si>
  <si>
    <t>Enter rejection reason</t>
  </si>
  <si>
    <t>Reject request → Enter reason</t>
  </si>
  <si>
    <t>Rejection reason</t>
  </si>
  <si>
    <t>Rejection reason is recorded</t>
  </si>
  <si>
    <t>TC-015</t>
  </si>
  <si>
    <t>UAT-MGR-06</t>
  </si>
  <si>
    <t>Verify updated request status</t>
  </si>
  <si>
    <t>Manager action completed</t>
  </si>
  <si>
    <t>Check employee request</t>
  </si>
  <si>
    <t>Approved/Rejected request</t>
  </si>
  <si>
    <t>Employee sees updated status</t>
  </si>
  <si>
    <t>TC-016</t>
  </si>
  <si>
    <t>UAT-HR-01</t>
  </si>
  <si>
    <t>HR/Admin</t>
  </si>
  <si>
    <t>View employee leave information</t>
  </si>
  <si>
    <t>HR/Admin logged in</t>
  </si>
  <si>
    <t>Open employee leave records</t>
  </si>
  <si>
    <t>Employee record</t>
  </si>
  <si>
    <t>Leave information displayed</t>
  </si>
  <si>
    <t>TC-017</t>
  </si>
  <si>
    <t>UAT-HR-02</t>
  </si>
  <si>
    <t>Manage leave types</t>
  </si>
  <si>
    <t>Open Leave Types → Add/Edit</t>
  </si>
  <si>
    <t>Leave type</t>
  </si>
  <si>
    <t>Leave type is managed successfully</t>
  </si>
  <si>
    <t>TC-018</t>
  </si>
  <si>
    <t>UAT-HR-03</t>
  </si>
  <si>
    <t>Configure leave entitlement</t>
  </si>
  <si>
    <t>Open entitlement settings → Update</t>
  </si>
  <si>
    <t>Entitlement value</t>
  </si>
  <si>
    <t>Entitlement updated</t>
  </si>
  <si>
    <t>TC-019</t>
  </si>
  <si>
    <t>UAT-HR-04</t>
  </si>
  <si>
    <t>Verify approved leave record</t>
  </si>
  <si>
    <t>Approved request exists</t>
  </si>
  <si>
    <t>Open employee leave record</t>
  </si>
  <si>
    <t>Approved request</t>
  </si>
  <si>
    <t>Approved leave reflected correctly</t>
  </si>
  <si>
    <t>TC-020</t>
  </si>
  <si>
    <t>UAT-HR-05</t>
  </si>
  <si>
    <t>Access leave reports</t>
  </si>
  <si>
    <t>Open Reports</t>
  </si>
  <si>
    <t>Report data</t>
  </si>
  <si>
    <t>Leave report displayed</t>
  </si>
  <si>
    <t>TC-021</t>
  </si>
  <si>
    <t>UAT-MGT-01</t>
  </si>
  <si>
    <t>Management</t>
  </si>
  <si>
    <t>View leave analytics</t>
  </si>
  <si>
    <t>Management logged in</t>
  </si>
  <si>
    <t>Open Dashboard</t>
  </si>
  <si>
    <t>Dashboard data</t>
  </si>
  <si>
    <t>Analytics displayed</t>
  </si>
  <si>
    <t>TC-022</t>
  </si>
  <si>
    <t>UAT-MGT-02</t>
  </si>
  <si>
    <t>View department analysis</t>
  </si>
  <si>
    <t>Dashboard available</t>
  </si>
  <si>
    <t>Select Department analysis</t>
  </si>
  <si>
    <t>Department data</t>
  </si>
  <si>
    <t>Department-wise information displayed</t>
  </si>
  <si>
    <t>TC-023</t>
  </si>
  <si>
    <t>UAT-MGT-03</t>
  </si>
  <si>
    <t>View monthly trend</t>
  </si>
  <si>
    <t>Open monthly trend</t>
  </si>
  <si>
    <t>Date/month data</t>
  </si>
  <si>
    <t>Monthly trend displayed</t>
  </si>
  <si>
    <t>TC-024</t>
  </si>
  <si>
    <t>UAT-MGT-04</t>
  </si>
  <si>
    <t>View approval/rejection statistics</t>
  </si>
  <si>
    <t>Open status analysis</t>
  </si>
  <si>
    <t>Status data</t>
  </si>
  <si>
    <t>Statistics displayed correctly</t>
  </si>
  <si>
    <t>TC-025</t>
  </si>
  <si>
    <t>UAT-REP-01</t>
  </si>
  <si>
    <t>Verify total leave requests</t>
  </si>
  <si>
    <t>Dashboard/report available</t>
  </si>
  <si>
    <t>Check total requests</t>
  </si>
  <si>
    <t>Leave data</t>
  </si>
  <si>
    <t>Total count displayed correctly</t>
  </si>
  <si>
    <t>TC-026</t>
  </si>
  <si>
    <t>UAT-REP-02</t>
  </si>
  <si>
    <t>Verify total leave days</t>
  </si>
  <si>
    <t>Check total leave days</t>
  </si>
  <si>
    <t>Total days displayed correctly</t>
  </si>
  <si>
    <t>TC-027</t>
  </si>
  <si>
    <t>UAT-REP-03</t>
  </si>
  <si>
    <t>Verify department-wise data</t>
  </si>
  <si>
    <t>Filter by department</t>
  </si>
  <si>
    <t>Department</t>
  </si>
  <si>
    <t>Correct department data displayed</t>
  </si>
  <si>
    <t>TC-028</t>
  </si>
  <si>
    <t>UAT-REP-04</t>
  </si>
  <si>
    <t>Verify leave-type analysis</t>
  </si>
  <si>
    <t>Filter by leave type</t>
  </si>
  <si>
    <t>Correct leave-type analysis displayed</t>
  </si>
  <si>
    <t>TC-029</t>
  </si>
  <si>
    <t>UAT-REP-05</t>
  </si>
  <si>
    <t>Verify request status analysis</t>
  </si>
  <si>
    <t>Filter by status</t>
  </si>
  <si>
    <t>Pending/Approved/Rejected</t>
  </si>
  <si>
    <t>Status analysis displayed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</si>
</sst>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FFFFFF"/>
      <name val="Google Sans"/>
    </font>
    <font>
      <b/>
      <sz val="9.0"/>
      <color rgb="FF596884"/>
      <name val="Google Sans"/>
    </font>
    <font>
      <b/>
      <sz val="16.0"/>
      <color rgb="FF1E3989"/>
      <name val="Google Sans"/>
    </font>
    <font>
      <b/>
      <sz val="16.0"/>
      <color rgb="FFB81C1C"/>
      <name val="Google Sans"/>
    </font>
    <font>
      <b/>
      <sz val="16.0"/>
      <color rgb="FFD97706"/>
      <name val="Google Sans"/>
    </font>
    <font>
      <b/>
      <sz val="16.0"/>
      <color rgb="FF2462EB"/>
      <name val="Google Sans"/>
    </font>
    <font>
      <b/>
      <sz val="10.0"/>
      <color rgb="FFFFFFFF"/>
      <name val="Google Sans"/>
    </font>
    <font>
      <b/>
      <sz val="10.0"/>
      <color rgb="FF1E3989"/>
      <name val="Google Sans"/>
    </font>
    <font>
      <sz val="9.0"/>
      <color rgb="FF596884"/>
      <name val="Google Sans"/>
    </font>
    <font>
      <sz val="10.0"/>
      <color rgb="FF1A1B20"/>
      <name val="Google Sans"/>
    </font>
  </fonts>
  <fills count="5">
    <fill>
      <patternFill patternType="none"/>
    </fill>
    <fill>
      <patternFill patternType="lightGray"/>
    </fill>
    <fill>
      <patternFill patternType="solid">
        <fgColor rgb="FF1E3989"/>
        <bgColor rgb="FF1E3989"/>
      </patternFill>
    </fill>
    <fill>
      <patternFill patternType="solid">
        <fgColor rgb="FFF1F5F8"/>
        <bgColor rgb="FFF1F5F8"/>
      </patternFill>
    </fill>
    <fill>
      <patternFill patternType="solid">
        <fgColor rgb="FFF8FAFC"/>
        <bgColor rgb="FFF8FAFC"/>
      </patternFill>
    </fill>
  </fills>
  <borders count="16">
    <border/>
    <border>
      <left style="thin">
        <color rgb="FFCCD6E0"/>
      </left>
      <right style="thin">
        <color rgb="FFE0E8EF"/>
      </right>
      <top style="thin">
        <color rgb="FFCCD6E0"/>
      </top>
      <bottom style="thin">
        <color rgb="FFE0E8EF"/>
      </bottom>
    </border>
    <border>
      <left style="thin">
        <color rgb="FFE0E8EF"/>
      </left>
      <right style="thin">
        <color rgb="FFE0E8EF"/>
      </right>
      <top style="thin">
        <color rgb="FFCCD6E0"/>
      </top>
      <bottom style="thin">
        <color rgb="FFE0E8EF"/>
      </bottom>
    </border>
    <border>
      <left style="thin">
        <color rgb="FFE0E8EF"/>
      </left>
      <right style="thin">
        <color rgb="FFCCD6E0"/>
      </right>
      <top style="thin">
        <color rgb="FFCCD6E0"/>
      </top>
      <bottom style="thin">
        <color rgb="FFE0E8EF"/>
      </bottom>
    </border>
    <border>
      <left style="thin">
        <color rgb="FFCCD6E0"/>
      </left>
      <right style="thin">
        <color rgb="FFE0E8EF"/>
      </right>
      <top style="thin">
        <color rgb="FFE0E8EF"/>
      </top>
      <bottom style="thin">
        <color rgb="FFCCD6E0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CCD6E0"/>
      </bottom>
    </border>
    <border>
      <left style="thin">
        <color rgb="FFE0E8EF"/>
      </left>
      <right style="thin">
        <color rgb="FFCCD6E0"/>
      </right>
      <top style="thin">
        <color rgb="FFE0E8EF"/>
      </top>
      <bottom style="thin">
        <color rgb="FFCCD6E0"/>
      </bottom>
    </border>
    <border>
      <left style="thin">
        <color rgb="FFCCD6E0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CCD6E0"/>
      </right>
      <top style="medium">
        <color rgb="FF1E3989"/>
      </top>
      <bottom style="thin">
        <color rgb="FFE1E8EF"/>
      </bottom>
    </border>
    <border>
      <left style="thin">
        <color rgb="FFCCD6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CD6E0"/>
      </right>
      <top style="thin">
        <color rgb="FFE1E8EF"/>
      </top>
      <bottom style="thin">
        <color rgb="FFE1E8EF"/>
      </bottom>
    </border>
    <border>
      <left style="thin">
        <color rgb="FFCCD6E0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CCD6E0"/>
      </right>
      <top style="thin">
        <color rgb="FFE1E8EF"/>
      </top>
      <bottom style="medium">
        <color rgb="FF1E398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3" fontId="2" numFmtId="0" xfId="0" applyAlignment="1" applyBorder="1" applyFill="1" applyFont="1">
      <alignment horizontal="center" readingOrder="0" vertical="center"/>
    </xf>
    <xf borderId="4" fillId="4" fontId="3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7" fillId="2" fontId="7" numFmtId="0" xfId="0" applyAlignment="1" applyBorder="1" applyFill="1" applyFont="1">
      <alignment readingOrder="0" shrinkToFit="0" vertical="center" wrapText="1"/>
    </xf>
    <xf borderId="8" fillId="2" fontId="7" numFmtId="0" xfId="0" applyAlignment="1" applyBorder="1" applyFill="1" applyFont="1">
      <alignment readingOrder="0" shrinkToFit="0" vertical="center" wrapText="1"/>
    </xf>
    <xf borderId="9" fillId="2" fontId="7" numFmtId="0" xfId="0" applyAlignment="1" applyBorder="1" applyFill="1" applyFont="1">
      <alignment readingOrder="0" shrinkToFit="0" vertical="center" wrapText="1"/>
    </xf>
    <xf borderId="10" fillId="0" fontId="8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horizontal="left" readingOrder="0" shrinkToFit="0" vertical="center" wrapText="1"/>
    </xf>
    <xf borderId="15" fillId="0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B"/>
          <bgColor rgb="FFF6F8FB"/>
        </patternFill>
      </fill>
      <border/>
    </dxf>
    <dxf>
      <font>
        <b/>
        <color rgb="FF991B1B"/>
      </font>
      <fill>
        <patternFill patternType="solid">
          <fgColor rgb="FFFDE1E1"/>
          <bgColor rgb="FFFDE1E1"/>
        </patternFill>
      </fill>
      <border/>
    </dxf>
    <dxf>
      <font>
        <b/>
        <color rgb="FF92400E"/>
      </font>
      <fill>
        <patternFill patternType="solid">
          <fgColor rgb="FFFDF3C6"/>
          <bgColor rgb="FFFDF3C6"/>
        </patternFill>
      </fill>
      <border/>
    </dxf>
  </dxfs>
  <tableStyles count="1">
    <tableStyle count="3" pivot="0" name="ELMS_UAT_Test_Ca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7:J36" displayName="Table_1" name="Table_1" id="1">
  <tableColumns count="9">
    <tableColumn name="Test Case ID" id="1"/>
    <tableColumn name="Scenario ID" id="2"/>
    <tableColumn name="Role" id="3"/>
    <tableColumn name="Test Case" id="4"/>
    <tableColumn name="Precondition" id="5"/>
    <tableColumn name="Test Steps" id="6"/>
    <tableColumn name="Test Data" id="7"/>
    <tableColumn name="Expected Result" id="8"/>
    <tableColumn name="Priority" id="9"/>
  </tableColumns>
  <tableStyleInfo name="ELMS_UAT_Test_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.88"/>
    <col customWidth="1" min="2" max="2" width="13.88"/>
    <col customWidth="1" min="3" max="3" width="15.13"/>
    <col customWidth="1" min="4" max="4" width="13.88"/>
    <col customWidth="1" min="5" max="5" width="31.38"/>
    <col customWidth="1" min="6" max="6" width="27.63"/>
    <col customWidth="1" min="7" max="7" width="35.13"/>
    <col customWidth="1" min="8" max="8" width="25.13"/>
    <col customWidth="1" min="9" max="9" width="33.88"/>
    <col customWidth="1" min="10" max="10" width="12.63"/>
  </cols>
  <sheetData>
    <row r="2" ht="33.0" customHeight="1">
      <c r="B2" s="1" t="s">
        <v>0</v>
      </c>
    </row>
    <row r="4" ht="18.0" customHeight="1">
      <c r="B4" s="2" t="s">
        <v>1</v>
      </c>
      <c r="C4" s="3" t="s">
        <v>2</v>
      </c>
      <c r="D4" s="3" t="s">
        <v>3</v>
      </c>
      <c r="E4" s="4" t="s">
        <v>4</v>
      </c>
    </row>
    <row r="5" ht="27.0" customHeight="1">
      <c r="B5" s="5">
        <f>COUNTA(B8:B36)</f>
        <v>29</v>
      </c>
      <c r="C5" s="6">
        <f>COUNTIF(J8:J36, "High")</f>
        <v>15</v>
      </c>
      <c r="D5" s="7">
        <f>COUNTIF(J8:J36, "Medium")</f>
        <v>14</v>
      </c>
      <c r="E5" s="8">
        <f t="array" ref="E5">COUNTA(UNIQUE(D8:D36))</f>
        <v>4</v>
      </c>
    </row>
    <row r="7" ht="25.5" customHeight="1">
      <c r="B7" s="9" t="s">
        <v>5</v>
      </c>
      <c r="C7" s="10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0" t="s">
        <v>11</v>
      </c>
      <c r="I7" s="10" t="s">
        <v>12</v>
      </c>
      <c r="J7" s="11" t="s">
        <v>13</v>
      </c>
    </row>
    <row r="8">
      <c r="B8" s="12" t="s">
        <v>14</v>
      </c>
      <c r="C8" s="13" t="s">
        <v>15</v>
      </c>
      <c r="D8" s="14" t="s">
        <v>16</v>
      </c>
      <c r="E8" s="15" t="s">
        <v>17</v>
      </c>
      <c r="F8" s="15" t="s">
        <v>18</v>
      </c>
      <c r="G8" s="15" t="s">
        <v>19</v>
      </c>
      <c r="H8" s="15" t="s">
        <v>20</v>
      </c>
      <c r="I8" s="15" t="s">
        <v>21</v>
      </c>
      <c r="J8" s="16" t="s">
        <v>22</v>
      </c>
    </row>
    <row r="9">
      <c r="B9" s="12" t="s">
        <v>23</v>
      </c>
      <c r="C9" s="13" t="s">
        <v>24</v>
      </c>
      <c r="D9" s="14" t="s">
        <v>16</v>
      </c>
      <c r="E9" s="15" t="s">
        <v>25</v>
      </c>
      <c r="F9" s="15" t="s">
        <v>26</v>
      </c>
      <c r="G9" s="15" t="s">
        <v>27</v>
      </c>
      <c r="H9" s="15" t="s">
        <v>28</v>
      </c>
      <c r="I9" s="15" t="s">
        <v>29</v>
      </c>
      <c r="J9" s="16" t="s">
        <v>22</v>
      </c>
    </row>
    <row r="10">
      <c r="B10" s="12" t="s">
        <v>30</v>
      </c>
      <c r="C10" s="13" t="s">
        <v>31</v>
      </c>
      <c r="D10" s="14" t="s">
        <v>16</v>
      </c>
      <c r="E10" s="15" t="s">
        <v>32</v>
      </c>
      <c r="F10" s="15" t="s">
        <v>33</v>
      </c>
      <c r="G10" s="15" t="s">
        <v>34</v>
      </c>
      <c r="H10" s="15" t="s">
        <v>35</v>
      </c>
      <c r="I10" s="15" t="s">
        <v>36</v>
      </c>
      <c r="J10" s="16" t="s">
        <v>22</v>
      </c>
    </row>
    <row r="11">
      <c r="B11" s="12" t="s">
        <v>37</v>
      </c>
      <c r="C11" s="13" t="s">
        <v>38</v>
      </c>
      <c r="D11" s="14" t="s">
        <v>16</v>
      </c>
      <c r="E11" s="15" t="s">
        <v>39</v>
      </c>
      <c r="F11" s="15" t="s">
        <v>40</v>
      </c>
      <c r="G11" s="15" t="s">
        <v>41</v>
      </c>
      <c r="H11" s="15" t="s">
        <v>42</v>
      </c>
      <c r="I11" s="15" t="s">
        <v>43</v>
      </c>
      <c r="J11" s="16" t="s">
        <v>22</v>
      </c>
    </row>
    <row r="12">
      <c r="B12" s="12" t="s">
        <v>44</v>
      </c>
      <c r="C12" s="13" t="s">
        <v>45</v>
      </c>
      <c r="D12" s="14" t="s">
        <v>16</v>
      </c>
      <c r="E12" s="15" t="s">
        <v>46</v>
      </c>
      <c r="F12" s="15" t="s">
        <v>47</v>
      </c>
      <c r="G12" s="15" t="s">
        <v>48</v>
      </c>
      <c r="H12" s="15" t="s">
        <v>49</v>
      </c>
      <c r="I12" s="15" t="s">
        <v>50</v>
      </c>
      <c r="J12" s="16" t="s">
        <v>22</v>
      </c>
    </row>
    <row r="13">
      <c r="B13" s="12" t="s">
        <v>51</v>
      </c>
      <c r="C13" s="13" t="s">
        <v>52</v>
      </c>
      <c r="D13" s="14" t="s">
        <v>16</v>
      </c>
      <c r="E13" s="15" t="s">
        <v>53</v>
      </c>
      <c r="F13" s="15" t="s">
        <v>54</v>
      </c>
      <c r="G13" s="15" t="s">
        <v>55</v>
      </c>
      <c r="H13" s="15" t="s">
        <v>56</v>
      </c>
      <c r="I13" s="15" t="s">
        <v>57</v>
      </c>
      <c r="J13" s="16" t="s">
        <v>22</v>
      </c>
    </row>
    <row r="14">
      <c r="B14" s="12" t="s">
        <v>58</v>
      </c>
      <c r="C14" s="13" t="s">
        <v>59</v>
      </c>
      <c r="D14" s="14" t="s">
        <v>16</v>
      </c>
      <c r="E14" s="15" t="s">
        <v>60</v>
      </c>
      <c r="F14" s="15" t="s">
        <v>61</v>
      </c>
      <c r="G14" s="15" t="s">
        <v>62</v>
      </c>
      <c r="H14" s="15" t="s">
        <v>63</v>
      </c>
      <c r="I14" s="15" t="s">
        <v>64</v>
      </c>
      <c r="J14" s="16" t="s">
        <v>65</v>
      </c>
    </row>
    <row r="15">
      <c r="B15" s="12" t="s">
        <v>66</v>
      </c>
      <c r="C15" s="13" t="s">
        <v>67</v>
      </c>
      <c r="D15" s="14" t="s">
        <v>16</v>
      </c>
      <c r="E15" s="15" t="s">
        <v>68</v>
      </c>
      <c r="F15" s="15" t="s">
        <v>69</v>
      </c>
      <c r="G15" s="15" t="s">
        <v>70</v>
      </c>
      <c r="H15" s="15" t="s">
        <v>35</v>
      </c>
      <c r="I15" s="15" t="s">
        <v>71</v>
      </c>
      <c r="J15" s="16" t="s">
        <v>65</v>
      </c>
    </row>
    <row r="16">
      <c r="B16" s="12" t="s">
        <v>72</v>
      </c>
      <c r="C16" s="13" t="s">
        <v>73</v>
      </c>
      <c r="D16" s="14" t="s">
        <v>16</v>
      </c>
      <c r="E16" s="15" t="s">
        <v>74</v>
      </c>
      <c r="F16" s="15" t="s">
        <v>75</v>
      </c>
      <c r="G16" s="15" t="s">
        <v>76</v>
      </c>
      <c r="H16" s="15" t="s">
        <v>77</v>
      </c>
      <c r="I16" s="15" t="s">
        <v>78</v>
      </c>
      <c r="J16" s="16" t="s">
        <v>65</v>
      </c>
    </row>
    <row r="17">
      <c r="B17" s="12" t="s">
        <v>79</v>
      </c>
      <c r="C17" s="13" t="s">
        <v>80</v>
      </c>
      <c r="D17" s="14" t="s">
        <v>81</v>
      </c>
      <c r="E17" s="15" t="s">
        <v>82</v>
      </c>
      <c r="F17" s="15" t="s">
        <v>83</v>
      </c>
      <c r="G17" s="15" t="s">
        <v>84</v>
      </c>
      <c r="H17" s="15" t="s">
        <v>77</v>
      </c>
      <c r="I17" s="15" t="s">
        <v>85</v>
      </c>
      <c r="J17" s="16" t="s">
        <v>22</v>
      </c>
    </row>
    <row r="18">
      <c r="B18" s="12" t="s">
        <v>86</v>
      </c>
      <c r="C18" s="13" t="s">
        <v>87</v>
      </c>
      <c r="D18" s="14" t="s">
        <v>81</v>
      </c>
      <c r="E18" s="15" t="s">
        <v>88</v>
      </c>
      <c r="F18" s="15" t="s">
        <v>75</v>
      </c>
      <c r="G18" s="15" t="s">
        <v>89</v>
      </c>
      <c r="H18" s="15" t="s">
        <v>90</v>
      </c>
      <c r="I18" s="15" t="s">
        <v>91</v>
      </c>
      <c r="J18" s="16" t="s">
        <v>22</v>
      </c>
    </row>
    <row r="19">
      <c r="B19" s="12" t="s">
        <v>92</v>
      </c>
      <c r="C19" s="13" t="s">
        <v>93</v>
      </c>
      <c r="D19" s="14" t="s">
        <v>81</v>
      </c>
      <c r="E19" s="15" t="s">
        <v>94</v>
      </c>
      <c r="F19" s="15" t="s">
        <v>75</v>
      </c>
      <c r="G19" s="15" t="s">
        <v>95</v>
      </c>
      <c r="H19" s="15" t="s">
        <v>77</v>
      </c>
      <c r="I19" s="15" t="s">
        <v>96</v>
      </c>
      <c r="J19" s="16" t="s">
        <v>22</v>
      </c>
    </row>
    <row r="20">
      <c r="B20" s="12" t="s">
        <v>97</v>
      </c>
      <c r="C20" s="13" t="s">
        <v>98</v>
      </c>
      <c r="D20" s="14" t="s">
        <v>81</v>
      </c>
      <c r="E20" s="15" t="s">
        <v>99</v>
      </c>
      <c r="F20" s="15" t="s">
        <v>75</v>
      </c>
      <c r="G20" s="15" t="s">
        <v>100</v>
      </c>
      <c r="H20" s="15" t="s">
        <v>77</v>
      </c>
      <c r="I20" s="15" t="s">
        <v>101</v>
      </c>
      <c r="J20" s="16" t="s">
        <v>22</v>
      </c>
    </row>
    <row r="21">
      <c r="B21" s="12" t="s">
        <v>102</v>
      </c>
      <c r="C21" s="13" t="s">
        <v>103</v>
      </c>
      <c r="D21" s="14" t="s">
        <v>81</v>
      </c>
      <c r="E21" s="15" t="s">
        <v>104</v>
      </c>
      <c r="F21" s="15" t="s">
        <v>75</v>
      </c>
      <c r="G21" s="15" t="s">
        <v>105</v>
      </c>
      <c r="H21" s="15" t="s">
        <v>106</v>
      </c>
      <c r="I21" s="15" t="s">
        <v>107</v>
      </c>
      <c r="J21" s="16" t="s">
        <v>22</v>
      </c>
    </row>
    <row r="22">
      <c r="B22" s="12" t="s">
        <v>108</v>
      </c>
      <c r="C22" s="13" t="s">
        <v>109</v>
      </c>
      <c r="D22" s="14" t="s">
        <v>81</v>
      </c>
      <c r="E22" s="15" t="s">
        <v>110</v>
      </c>
      <c r="F22" s="15" t="s">
        <v>111</v>
      </c>
      <c r="G22" s="15" t="s">
        <v>112</v>
      </c>
      <c r="H22" s="15" t="s">
        <v>113</v>
      </c>
      <c r="I22" s="15" t="s">
        <v>114</v>
      </c>
      <c r="J22" s="16" t="s">
        <v>22</v>
      </c>
    </row>
    <row r="23">
      <c r="B23" s="12" t="s">
        <v>115</v>
      </c>
      <c r="C23" s="13" t="s">
        <v>116</v>
      </c>
      <c r="D23" s="14" t="s">
        <v>117</v>
      </c>
      <c r="E23" s="15" t="s">
        <v>118</v>
      </c>
      <c r="F23" s="15" t="s">
        <v>119</v>
      </c>
      <c r="G23" s="15" t="s">
        <v>120</v>
      </c>
      <c r="H23" s="15" t="s">
        <v>121</v>
      </c>
      <c r="I23" s="15" t="s">
        <v>122</v>
      </c>
      <c r="J23" s="16" t="s">
        <v>65</v>
      </c>
    </row>
    <row r="24">
      <c r="B24" s="12" t="s">
        <v>123</v>
      </c>
      <c r="C24" s="13" t="s">
        <v>124</v>
      </c>
      <c r="D24" s="14" t="s">
        <v>117</v>
      </c>
      <c r="E24" s="15" t="s">
        <v>125</v>
      </c>
      <c r="F24" s="15" t="s">
        <v>119</v>
      </c>
      <c r="G24" s="15" t="s">
        <v>126</v>
      </c>
      <c r="H24" s="15" t="s">
        <v>127</v>
      </c>
      <c r="I24" s="15" t="s">
        <v>128</v>
      </c>
      <c r="J24" s="16" t="s">
        <v>65</v>
      </c>
    </row>
    <row r="25">
      <c r="B25" s="12" t="s">
        <v>129</v>
      </c>
      <c r="C25" s="13" t="s">
        <v>130</v>
      </c>
      <c r="D25" s="14" t="s">
        <v>117</v>
      </c>
      <c r="E25" s="15" t="s">
        <v>131</v>
      </c>
      <c r="F25" s="15" t="s">
        <v>119</v>
      </c>
      <c r="G25" s="15" t="s">
        <v>132</v>
      </c>
      <c r="H25" s="15" t="s">
        <v>133</v>
      </c>
      <c r="I25" s="15" t="s">
        <v>134</v>
      </c>
      <c r="J25" s="16" t="s">
        <v>65</v>
      </c>
    </row>
    <row r="26">
      <c r="B26" s="12" t="s">
        <v>135</v>
      </c>
      <c r="C26" s="13" t="s">
        <v>136</v>
      </c>
      <c r="D26" s="14" t="s">
        <v>117</v>
      </c>
      <c r="E26" s="15" t="s">
        <v>137</v>
      </c>
      <c r="F26" s="15" t="s">
        <v>138</v>
      </c>
      <c r="G26" s="15" t="s">
        <v>139</v>
      </c>
      <c r="H26" s="15" t="s">
        <v>140</v>
      </c>
      <c r="I26" s="15" t="s">
        <v>141</v>
      </c>
      <c r="J26" s="16" t="s">
        <v>22</v>
      </c>
    </row>
    <row r="27">
      <c r="B27" s="12" t="s">
        <v>142</v>
      </c>
      <c r="C27" s="13" t="s">
        <v>143</v>
      </c>
      <c r="D27" s="14" t="s">
        <v>117</v>
      </c>
      <c r="E27" s="15" t="s">
        <v>144</v>
      </c>
      <c r="F27" s="15" t="s">
        <v>119</v>
      </c>
      <c r="G27" s="15" t="s">
        <v>145</v>
      </c>
      <c r="H27" s="15" t="s">
        <v>146</v>
      </c>
      <c r="I27" s="15" t="s">
        <v>147</v>
      </c>
      <c r="J27" s="16" t="s">
        <v>65</v>
      </c>
    </row>
    <row r="28">
      <c r="B28" s="12" t="s">
        <v>148</v>
      </c>
      <c r="C28" s="13" t="s">
        <v>149</v>
      </c>
      <c r="D28" s="14" t="s">
        <v>150</v>
      </c>
      <c r="E28" s="15" t="s">
        <v>151</v>
      </c>
      <c r="F28" s="15" t="s">
        <v>152</v>
      </c>
      <c r="G28" s="15" t="s">
        <v>153</v>
      </c>
      <c r="H28" s="15" t="s">
        <v>154</v>
      </c>
      <c r="I28" s="15" t="s">
        <v>155</v>
      </c>
      <c r="J28" s="16" t="s">
        <v>22</v>
      </c>
    </row>
    <row r="29">
      <c r="B29" s="12" t="s">
        <v>156</v>
      </c>
      <c r="C29" s="13" t="s">
        <v>157</v>
      </c>
      <c r="D29" s="14" t="s">
        <v>150</v>
      </c>
      <c r="E29" s="15" t="s">
        <v>158</v>
      </c>
      <c r="F29" s="15" t="s">
        <v>159</v>
      </c>
      <c r="G29" s="15" t="s">
        <v>160</v>
      </c>
      <c r="H29" s="15" t="s">
        <v>161</v>
      </c>
      <c r="I29" s="15" t="s">
        <v>162</v>
      </c>
      <c r="J29" s="16" t="s">
        <v>22</v>
      </c>
    </row>
    <row r="30">
      <c r="B30" s="12" t="s">
        <v>163</v>
      </c>
      <c r="C30" s="13" t="s">
        <v>164</v>
      </c>
      <c r="D30" s="14" t="s">
        <v>150</v>
      </c>
      <c r="E30" s="15" t="s">
        <v>165</v>
      </c>
      <c r="F30" s="15" t="s">
        <v>159</v>
      </c>
      <c r="G30" s="15" t="s">
        <v>166</v>
      </c>
      <c r="H30" s="15" t="s">
        <v>167</v>
      </c>
      <c r="I30" s="15" t="s">
        <v>168</v>
      </c>
      <c r="J30" s="16" t="s">
        <v>65</v>
      </c>
    </row>
    <row r="31">
      <c r="B31" s="12" t="s">
        <v>169</v>
      </c>
      <c r="C31" s="13" t="s">
        <v>170</v>
      </c>
      <c r="D31" s="14" t="s">
        <v>150</v>
      </c>
      <c r="E31" s="15" t="s">
        <v>171</v>
      </c>
      <c r="F31" s="15" t="s">
        <v>159</v>
      </c>
      <c r="G31" s="15" t="s">
        <v>172</v>
      </c>
      <c r="H31" s="15" t="s">
        <v>173</v>
      </c>
      <c r="I31" s="15" t="s">
        <v>174</v>
      </c>
      <c r="J31" s="16" t="s">
        <v>65</v>
      </c>
    </row>
    <row r="32">
      <c r="B32" s="12" t="s">
        <v>175</v>
      </c>
      <c r="C32" s="13" t="s">
        <v>176</v>
      </c>
      <c r="D32" s="14" t="s">
        <v>150</v>
      </c>
      <c r="E32" s="15" t="s">
        <v>177</v>
      </c>
      <c r="F32" s="15" t="s">
        <v>178</v>
      </c>
      <c r="G32" s="15" t="s">
        <v>179</v>
      </c>
      <c r="H32" s="15" t="s">
        <v>180</v>
      </c>
      <c r="I32" s="15" t="s">
        <v>181</v>
      </c>
      <c r="J32" s="16" t="s">
        <v>65</v>
      </c>
    </row>
    <row r="33">
      <c r="B33" s="12" t="s">
        <v>182</v>
      </c>
      <c r="C33" s="13" t="s">
        <v>183</v>
      </c>
      <c r="D33" s="14" t="s">
        <v>150</v>
      </c>
      <c r="E33" s="15" t="s">
        <v>184</v>
      </c>
      <c r="F33" s="15" t="s">
        <v>178</v>
      </c>
      <c r="G33" s="15" t="s">
        <v>185</v>
      </c>
      <c r="H33" s="15" t="s">
        <v>180</v>
      </c>
      <c r="I33" s="15" t="s">
        <v>186</v>
      </c>
      <c r="J33" s="16" t="s">
        <v>65</v>
      </c>
    </row>
    <row r="34">
      <c r="B34" s="12" t="s">
        <v>187</v>
      </c>
      <c r="C34" s="13" t="s">
        <v>188</v>
      </c>
      <c r="D34" s="14" t="s">
        <v>150</v>
      </c>
      <c r="E34" s="15" t="s">
        <v>189</v>
      </c>
      <c r="F34" s="15" t="s">
        <v>159</v>
      </c>
      <c r="G34" s="15" t="s">
        <v>190</v>
      </c>
      <c r="H34" s="15" t="s">
        <v>191</v>
      </c>
      <c r="I34" s="15" t="s">
        <v>192</v>
      </c>
      <c r="J34" s="16" t="s">
        <v>65</v>
      </c>
    </row>
    <row r="35">
      <c r="B35" s="12" t="s">
        <v>193</v>
      </c>
      <c r="C35" s="13" t="s">
        <v>194</v>
      </c>
      <c r="D35" s="14" t="s">
        <v>150</v>
      </c>
      <c r="E35" s="15" t="s">
        <v>195</v>
      </c>
      <c r="F35" s="15" t="s">
        <v>159</v>
      </c>
      <c r="G35" s="15" t="s">
        <v>196</v>
      </c>
      <c r="H35" s="15" t="s">
        <v>127</v>
      </c>
      <c r="I35" s="15" t="s">
        <v>197</v>
      </c>
      <c r="J35" s="16" t="s">
        <v>65</v>
      </c>
    </row>
    <row r="36">
      <c r="B36" s="17" t="s">
        <v>198</v>
      </c>
      <c r="C36" s="18" t="s">
        <v>199</v>
      </c>
      <c r="D36" s="19" t="s">
        <v>150</v>
      </c>
      <c r="E36" s="20" t="s">
        <v>200</v>
      </c>
      <c r="F36" s="20" t="s">
        <v>159</v>
      </c>
      <c r="G36" s="20" t="s">
        <v>201</v>
      </c>
      <c r="H36" s="20" t="s">
        <v>202</v>
      </c>
      <c r="I36" s="20" t="s">
        <v>203</v>
      </c>
      <c r="J36" s="21" t="s">
        <v>65</v>
      </c>
    </row>
  </sheetData>
  <mergeCells count="1">
    <mergeCell ref="B2:J2"/>
  </mergeCells>
  <conditionalFormatting sqref="J8:J36">
    <cfRule type="cellIs" dxfId="4" priority="1" stopIfTrue="1" operator="equal">
      <formula>"High"</formula>
    </cfRule>
  </conditionalFormatting>
  <conditionalFormatting sqref="J8:J36">
    <cfRule type="cellIs" dxfId="5" priority="2" stopIfTrue="1" operator="equal">
      <formula>"Medium"</formula>
    </cfRule>
  </conditionalFormatting>
  <drawing r:id="rId1"/>
  <tableParts count="1">
    <tablePart r:id="rId3"/>
  </tableParts>
</worksheet>
</file>