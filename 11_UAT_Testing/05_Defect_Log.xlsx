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<sst xmlns="http://schemas.openxmlformats.org/spreadsheetml/2006/main" count="61" uniqueCount="47">
  <si>
    <t>ELMS — UAT Defect Log</t>
  </si>
  <si>
    <t>System: Employee Leave Management System (ELMS) | Target: UAT Test Execution (TC-001 to TC-029) | Tester: Moshahed Ullah</t>
  </si>
  <si>
    <t>TOTAL DEFECTS</t>
  </si>
  <si>
    <t>OPEN DEFECTS</t>
  </si>
  <si>
    <t>CRITICAL &amp; HIGH</t>
  </si>
  <si>
    <t>PENDING RETEST</t>
  </si>
  <si>
    <t>Defect ID</t>
  </si>
  <si>
    <t>Test Case ID</t>
  </si>
  <si>
    <t>Defect Summary</t>
  </si>
  <si>
    <t>Description</t>
  </si>
  <si>
    <t>Severity</t>
  </si>
  <si>
    <t>Priority</t>
  </si>
  <si>
    <t>Status</t>
  </si>
  <si>
    <t>Reported By</t>
  </si>
  <si>
    <t>Assigned To</t>
  </si>
  <si>
    <t>Resolution</t>
  </si>
  <si>
    <t>Retest Result</t>
  </si>
  <si>
    <t>DEF-001</t>
  </si>
  <si>
    <t>TC-006</t>
  </si>
  <si>
    <t>File upload backend storage not integrated</t>
  </si>
  <si>
    <t>File selector opened in UI, but backend document upload storage is not integrated. Backend file storage API required.</t>
  </si>
  <si>
    <t>Medium</t>
  </si>
  <si>
    <t>Open</t>
  </si>
  <si>
    <t>Moshahed Ullah</t>
  </si>
  <si>
    <t>Backend Dev Team</t>
  </si>
  <si>
    <t>Backend file storage API integration pending</t>
  </si>
  <si>
    <t>Pending</t>
  </si>
  <si>
    <t>DEF-002</t>
  </si>
  <si>
    <t>TC-010</t>
  </si>
  <si>
    <t>Email notification trigger failing due to missing SMTP relay</t>
  </si>
  <si>
    <t>Email notification trigger cannot execute without live SMTP mail relay server. Workflow alerts blocked.</t>
  </si>
  <si>
    <t>High</t>
  </si>
  <si>
    <t>Infrastructure Team</t>
  </si>
  <si>
    <t>SMTP mail server integration pending</t>
  </si>
  <si>
    <t>DEF-003</t>
  </si>
  <si>
    <t>TC-019</t>
  </si>
  <si>
    <t>Year-end batch rollover requires backend cron scheduler</t>
  </si>
  <si>
    <t>Batch rollover script and encashment processing require backend server cron job execution.</t>
  </si>
  <si>
    <t>Requires backend database scheduler / cron execution</t>
  </si>
  <si>
    <t>DEF-004</t>
  </si>
  <si>
    <t>TC-029</t>
  </si>
  <si>
    <t>Power BI scheduled email export requires cloud workspace license</t>
  </si>
  <si>
    <t>Direct PDF export works; automated scheduled email distribution requires Power BI Pro cloud tenant.</t>
  </si>
  <si>
    <t>Low</t>
  </si>
  <si>
    <t>Deferred</t>
  </si>
  <si>
    <t>BI / IT Admin</t>
  </si>
  <si>
    <t>Cloud workspace tenant license required for scheduled subscriptions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</si>
</sst>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6.0"/>
      <color rgb="FF1E3989"/>
      <name val="Arial"/>
      <scheme val="minor"/>
    </font>
    <font>
      <i/>
      <sz val="10.0"/>
      <color rgb="FF4A5462"/>
      <name val="Arial"/>
      <scheme val="minor"/>
    </font>
    <font>
      <b/>
      <sz val="9.0"/>
      <color rgb="FF465469"/>
      <name val="Arial"/>
      <scheme val="minor"/>
    </font>
    <font/>
    <font>
      <b/>
      <sz val="9.0"/>
      <color rgb="FFB81C1C"/>
      <name val="Arial"/>
      <scheme val="minor"/>
    </font>
    <font>
      <b/>
      <sz val="9.0"/>
      <color rgb="FFB4520E"/>
      <name val="Arial"/>
      <scheme val="minor"/>
    </font>
    <font>
      <b/>
      <sz val="9.0"/>
      <color rgb="FF1D4ED7"/>
      <name val="Arial"/>
      <scheme val="minor"/>
    </font>
    <font>
      <b/>
      <sz val="18.0"/>
      <color rgb="FF0F162A"/>
      <name val="Arial"/>
      <scheme val="minor"/>
    </font>
    <font>
      <b/>
      <sz val="18.0"/>
      <color rgb="FF991B1B"/>
      <name val="Arial"/>
      <scheme val="minor"/>
    </font>
    <font>
      <b/>
      <sz val="18.0"/>
      <color rgb="FF92400E"/>
      <name val="Arial"/>
      <scheme val="minor"/>
    </font>
    <font>
      <b/>
      <sz val="18.0"/>
      <color rgb="FF1E40AE"/>
      <name val="Arial"/>
      <scheme val="minor"/>
    </font>
    <font>
      <b/>
      <sz val="10.0"/>
      <color rgb="FFFFFFFF"/>
      <name val="Arial"/>
      <scheme val="minor"/>
    </font>
    <font>
      <b/>
      <sz val="10.0"/>
      <color rgb="FF1E3989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0F5F8"/>
        <bgColor rgb="FFF0F5F8"/>
      </patternFill>
    </fill>
    <fill>
      <patternFill patternType="solid">
        <fgColor rgb="FFFDF1F1"/>
        <bgColor rgb="FFFDF1F1"/>
      </patternFill>
    </fill>
    <fill>
      <patternFill patternType="solid">
        <fgColor rgb="FFFFFAEB"/>
        <bgColor rgb="FFFFFAEB"/>
      </patternFill>
    </fill>
    <fill>
      <patternFill patternType="solid">
        <fgColor rgb="FFEEF6FF"/>
        <bgColor rgb="FFEEF6FF"/>
      </patternFill>
    </fill>
    <fill>
      <patternFill patternType="solid">
        <fgColor rgb="FF1E3989"/>
        <bgColor rgb="FF1E3989"/>
      </patternFill>
    </fill>
    <fill>
      <patternFill patternType="solid">
        <fgColor rgb="FFFFFFFF"/>
        <bgColor rgb="FFFFFFFF"/>
      </patternFill>
    </fill>
    <fill>
      <patternFill patternType="solid">
        <fgColor rgb="FFF8F9FB"/>
        <bgColor rgb="FFF8F9FB"/>
      </patternFill>
    </fill>
  </fills>
  <borders count="24">
    <border/>
    <border>
      <left style="thin">
        <color rgb="FFCAD4E0"/>
      </left>
      <top style="thin">
        <color rgb="FFCAD4E0"/>
      </top>
    </border>
    <border>
      <right style="thin">
        <color rgb="FFCAD4E0"/>
      </right>
      <top style="thin">
        <color rgb="FFCAD4E0"/>
      </top>
    </border>
    <border>
      <left style="thin">
        <color rgb="FFFCCCD8"/>
      </left>
      <top style="thin">
        <color rgb="FFFCCCD8"/>
      </top>
    </border>
    <border>
      <top style="thin">
        <color rgb="FFFCCCD8"/>
      </top>
    </border>
    <border>
      <right style="thin">
        <color rgb="FFFCCCD8"/>
      </right>
      <top style="thin">
        <color rgb="FFFCCCD8"/>
      </top>
    </border>
    <border>
      <left style="thin">
        <color rgb="FFFFE5BF"/>
      </left>
      <top style="thin">
        <color rgb="FFFFE5BF"/>
      </top>
    </border>
    <border>
      <top style="thin">
        <color rgb="FFFFE5BF"/>
      </top>
    </border>
    <border>
      <right style="thin">
        <color rgb="FFFFE5BF"/>
      </right>
      <top style="thin">
        <color rgb="FFFFE5BF"/>
      </top>
    </border>
    <border>
      <left style="thin">
        <color rgb="FFBFE0F9"/>
      </left>
      <top style="thin">
        <color rgb="FFBFE0F9"/>
      </top>
    </border>
    <border>
      <top style="thin">
        <color rgb="FFBFE0F9"/>
      </top>
    </border>
    <border>
      <right style="thin">
        <color rgb="FFBFE0F9"/>
      </right>
      <top style="thin">
        <color rgb="FFBFE0F9"/>
      </top>
    </border>
    <border>
      <left style="thin">
        <color rgb="FFCAD4E0"/>
      </left>
      <bottom style="thin">
        <color rgb="FFCAD4E0"/>
      </bottom>
    </border>
    <border>
      <right style="thin">
        <color rgb="FFCAD4E0"/>
      </right>
      <bottom style="thin">
        <color rgb="FFCAD4E0"/>
      </bottom>
    </border>
    <border>
      <left style="thin">
        <color rgb="FFFCCCD8"/>
      </left>
      <bottom style="thin">
        <color rgb="FFFCCCD8"/>
      </bottom>
    </border>
    <border>
      <bottom style="thin">
        <color rgb="FFFCCCD8"/>
      </bottom>
    </border>
    <border>
      <right style="thin">
        <color rgb="FFFCCCD8"/>
      </right>
      <bottom style="thin">
        <color rgb="FFFCCCD8"/>
      </bottom>
    </border>
    <border>
      <left style="thin">
        <color rgb="FFFFE5BF"/>
      </left>
      <bottom style="thin">
        <color rgb="FFFFE5BF"/>
      </bottom>
    </border>
    <border>
      <bottom style="thin">
        <color rgb="FFFFE5BF"/>
      </bottom>
    </border>
    <border>
      <right style="thin">
        <color rgb="FFFFE5BF"/>
      </right>
      <bottom style="thin">
        <color rgb="FFFFE5BF"/>
      </bottom>
    </border>
    <border>
      <left style="thin">
        <color rgb="FFBFE0F9"/>
      </left>
      <bottom style="thin">
        <color rgb="FFBFE0F9"/>
      </bottom>
    </border>
    <border>
      <bottom style="thin">
        <color rgb="FFBFE0F9"/>
      </bottom>
    </border>
    <border>
      <right style="thin">
        <color rgb="FFBFE0F9"/>
      </right>
      <bottom style="thin">
        <color rgb="FFBFE0F9"/>
      </bottom>
    </border>
    <border>
      <left style="thin">
        <color rgb="FFCAD4E0"/>
      </left>
      <right style="thin">
        <color rgb="FFCAD4E0"/>
      </right>
      <top style="thin">
        <color rgb="FFCAD4E0"/>
      </top>
      <bottom style="thin">
        <color rgb="FFCAD4E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3" fontId="5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6" fillId="4" fontId="6" numFmtId="0" xfId="0" applyAlignment="1" applyBorder="1" applyFill="1" applyFont="1">
      <alignment horizontal="center" readingOrder="0" vertical="center"/>
    </xf>
    <xf borderId="7" fillId="0" fontId="4" numFmtId="0" xfId="0" applyBorder="1" applyFont="1"/>
    <xf borderId="8" fillId="0" fontId="4" numFmtId="0" xfId="0" applyBorder="1" applyFont="1"/>
    <xf borderId="9" fillId="5" fontId="7" numFmtId="0" xfId="0" applyAlignment="1" applyBorder="1" applyFill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12" fillId="2" fontId="8" numFmtId="0" xfId="0" applyAlignment="1" applyBorder="1" applyFill="1" applyFont="1">
      <alignment horizontal="center" vertical="center"/>
    </xf>
    <xf borderId="13" fillId="0" fontId="4" numFmtId="0" xfId="0" applyBorder="1" applyFont="1"/>
    <xf borderId="14" fillId="3" fontId="9" numFmtId="0" xfId="0" applyAlignment="1" applyBorder="1" applyFill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17" fillId="4" fontId="10" numFmtId="0" xfId="0" applyAlignment="1" applyBorder="1" applyFill="1" applyFont="1">
      <alignment horizontal="center" vertical="center"/>
    </xf>
    <xf borderId="18" fillId="0" fontId="4" numFmtId="0" xfId="0" applyBorder="1" applyFont="1"/>
    <xf borderId="19" fillId="0" fontId="4" numFmtId="0" xfId="0" applyBorder="1" applyFont="1"/>
    <xf borderId="20" fillId="5" fontId="11" numFmtId="0" xfId="0" applyAlignment="1" applyBorder="1" applyFill="1" applyFon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23" fillId="6" fontId="12" numFmtId="0" xfId="0" applyAlignment="1" applyBorder="1" applyFill="1" applyFont="1">
      <alignment horizontal="center" readingOrder="0" vertical="center"/>
    </xf>
    <xf borderId="23" fillId="6" fontId="12" numFmtId="0" xfId="0" applyAlignment="1" applyBorder="1" applyFill="1" applyFont="1">
      <alignment horizontal="left" readingOrder="0" vertical="center"/>
    </xf>
    <xf borderId="23" fillId="7" fontId="13" numFmtId="0" xfId="0" applyAlignment="1" applyBorder="1" applyFill="1" applyFont="1">
      <alignment horizontal="center" readingOrder="0" vertical="center"/>
    </xf>
    <xf borderId="23" fillId="7" fontId="14" numFmtId="0" xfId="0" applyAlignment="1" applyBorder="1" applyFill="1" applyFont="1">
      <alignment horizontal="left" readingOrder="0" shrinkToFit="0" vertical="center" wrapText="1"/>
    </xf>
    <xf borderId="23" fillId="7" fontId="14" numFmtId="0" xfId="0" applyAlignment="1" applyBorder="1" applyFill="1" applyFont="1">
      <alignment horizontal="center" readingOrder="0" vertical="center"/>
    </xf>
    <xf borderId="23" fillId="7" fontId="14" numFmtId="0" xfId="0" applyAlignment="1" applyBorder="1" applyFill="1" applyFont="1">
      <alignment horizontal="left" readingOrder="0" vertical="center"/>
    </xf>
    <xf borderId="23" fillId="8" fontId="13" numFmtId="0" xfId="0" applyAlignment="1" applyBorder="1" applyFill="1" applyFont="1">
      <alignment horizontal="center" readingOrder="0" vertical="center"/>
    </xf>
    <xf borderId="23" fillId="8" fontId="14" numFmtId="0" xfId="0" applyAlignment="1" applyBorder="1" applyFill="1" applyFont="1">
      <alignment horizontal="left" readingOrder="0" shrinkToFit="0" vertical="center" wrapText="1"/>
    </xf>
    <xf borderId="23" fillId="8" fontId="14" numFmtId="0" xfId="0" applyAlignment="1" applyBorder="1" applyFill="1" applyFont="1">
      <alignment horizontal="center" readingOrder="0" vertical="center"/>
    </xf>
    <xf borderId="23" fillId="8" fontId="14" numFmtId="0" xfId="0" applyAlignment="1" applyBorder="1" applyFill="1" applyFont="1">
      <alignment horizontal="left" readingOrder="0" vertical="center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.63"/>
    <col customWidth="1" min="2" max="2" width="12.0"/>
    <col customWidth="1" min="3" max="3" width="13.25"/>
    <col customWidth="1" min="4" max="4" width="35.13"/>
    <col customWidth="1" min="5" max="5" width="40.13"/>
    <col customWidth="1" min="6" max="7" width="13.25"/>
    <col customWidth="1" min="8" max="8" width="14.5"/>
    <col customWidth="1" min="9" max="9" width="16.38"/>
    <col customWidth="1" min="10" max="10" width="18.88"/>
    <col customWidth="1" min="11" max="11" width="33.88"/>
    <col customWidth="1" min="12" max="12" width="14.5"/>
  </cols>
  <sheetData>
    <row r="2" ht="27.0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18.0" customHeight="1"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ht="12.0" customHeight="1"/>
    <row r="5" ht="16.5" customHeight="1">
      <c r="B5" s="5" t="s">
        <v>2</v>
      </c>
      <c r="C5" s="6"/>
      <c r="D5" s="7" t="s">
        <v>3</v>
      </c>
      <c r="E5" s="8"/>
      <c r="F5" s="9"/>
      <c r="G5" s="10" t="s">
        <v>4</v>
      </c>
      <c r="H5" s="11"/>
      <c r="I5" s="12"/>
      <c r="J5" s="13" t="s">
        <v>5</v>
      </c>
      <c r="K5" s="14"/>
      <c r="L5" s="15"/>
    </row>
    <row r="6" ht="25.5" customHeight="1">
      <c r="B6" s="16">
        <f>COUNTA(B9:B50)</f>
        <v>4</v>
      </c>
      <c r="C6" s="17"/>
      <c r="D6" s="18">
        <f>COUNTIF(H9:H50,"Open")</f>
        <v>3</v>
      </c>
      <c r="E6" s="19"/>
      <c r="F6" s="20"/>
      <c r="G6" s="21">
        <f>COUNTIF(F9:F50,"Critical")+COUNTIF(F9:F50,"High")</f>
        <v>1</v>
      </c>
      <c r="H6" s="22"/>
      <c r="I6" s="23"/>
      <c r="J6" s="24">
        <f>COUNTIF(L9:L50,"Pending")</f>
        <v>4</v>
      </c>
      <c r="K6" s="25"/>
      <c r="L6" s="26"/>
    </row>
    <row r="7" ht="12.0" customHeight="1"/>
    <row r="8" ht="24.0" customHeight="1">
      <c r="B8" s="27" t="s">
        <v>6</v>
      </c>
      <c r="C8" s="27" t="s">
        <v>7</v>
      </c>
      <c r="D8" s="28" t="s">
        <v>8</v>
      </c>
      <c r="E8" s="28" t="s">
        <v>9</v>
      </c>
      <c r="F8" s="27" t="s">
        <v>10</v>
      </c>
      <c r="G8" s="27" t="s">
        <v>11</v>
      </c>
      <c r="H8" s="27" t="s">
        <v>12</v>
      </c>
      <c r="I8" s="28" t="s">
        <v>13</v>
      </c>
      <c r="J8" s="28" t="s">
        <v>14</v>
      </c>
      <c r="K8" s="28" t="s">
        <v>15</v>
      </c>
      <c r="L8" s="27" t="s">
        <v>16</v>
      </c>
    </row>
    <row r="9" ht="36.0" customHeight="1">
      <c r="B9" s="29" t="s">
        <v>17</v>
      </c>
      <c r="C9" s="29" t="s">
        <v>18</v>
      </c>
      <c r="D9" s="30" t="s">
        <v>19</v>
      </c>
      <c r="E9" s="30" t="s">
        <v>20</v>
      </c>
      <c r="F9" s="31" t="s">
        <v>21</v>
      </c>
      <c r="G9" s="31" t="s">
        <v>21</v>
      </c>
      <c r="H9" s="31" t="s">
        <v>22</v>
      </c>
      <c r="I9" s="32" t="s">
        <v>23</v>
      </c>
      <c r="J9" s="32" t="s">
        <v>24</v>
      </c>
      <c r="K9" s="30" t="s">
        <v>25</v>
      </c>
      <c r="L9" s="31" t="s">
        <v>26</v>
      </c>
    </row>
    <row r="10" ht="36.0" customHeight="1">
      <c r="B10" s="33" t="s">
        <v>27</v>
      </c>
      <c r="C10" s="33" t="s">
        <v>28</v>
      </c>
      <c r="D10" s="34" t="s">
        <v>29</v>
      </c>
      <c r="E10" s="34" t="s">
        <v>30</v>
      </c>
      <c r="F10" s="35" t="s">
        <v>31</v>
      </c>
      <c r="G10" s="35" t="s">
        <v>31</v>
      </c>
      <c r="H10" s="35" t="s">
        <v>22</v>
      </c>
      <c r="I10" s="36" t="s">
        <v>23</v>
      </c>
      <c r="J10" s="36" t="s">
        <v>32</v>
      </c>
      <c r="K10" s="34" t="s">
        <v>33</v>
      </c>
      <c r="L10" s="35" t="s">
        <v>26</v>
      </c>
    </row>
    <row r="11" ht="36.0" customHeight="1">
      <c r="B11" s="29" t="s">
        <v>34</v>
      </c>
      <c r="C11" s="29" t="s">
        <v>35</v>
      </c>
      <c r="D11" s="30" t="s">
        <v>36</v>
      </c>
      <c r="E11" s="30" t="s">
        <v>37</v>
      </c>
      <c r="F11" s="31" t="s">
        <v>21</v>
      </c>
      <c r="G11" s="31" t="s">
        <v>21</v>
      </c>
      <c r="H11" s="31" t="s">
        <v>22</v>
      </c>
      <c r="I11" s="32" t="s">
        <v>23</v>
      </c>
      <c r="J11" s="32" t="s">
        <v>24</v>
      </c>
      <c r="K11" s="30" t="s">
        <v>38</v>
      </c>
      <c r="L11" s="31" t="s">
        <v>26</v>
      </c>
    </row>
    <row r="12" ht="36.0" customHeight="1">
      <c r="B12" s="33" t="s">
        <v>39</v>
      </c>
      <c r="C12" s="33" t="s">
        <v>40</v>
      </c>
      <c r="D12" s="34" t="s">
        <v>41</v>
      </c>
      <c r="E12" s="34" t="s">
        <v>42</v>
      </c>
      <c r="F12" s="35" t="s">
        <v>43</v>
      </c>
      <c r="G12" s="35" t="s">
        <v>43</v>
      </c>
      <c r="H12" s="35" t="s">
        <v>44</v>
      </c>
      <c r="I12" s="36" t="s">
        <v>23</v>
      </c>
      <c r="J12" s="36" t="s">
        <v>45</v>
      </c>
      <c r="K12" s="34" t="s">
        <v>46</v>
      </c>
      <c r="L12" s="35" t="s">
        <v>26</v>
      </c>
    </row>
    <row r="13">
      <c r="F13" s="37"/>
      <c r="G13" s="37"/>
      <c r="H13" s="37"/>
      <c r="L13" s="37"/>
    </row>
    <row r="14">
      <c r="F14" s="37"/>
      <c r="G14" s="37"/>
      <c r="H14" s="37"/>
      <c r="L14" s="37"/>
    </row>
    <row r="15">
      <c r="F15" s="37"/>
      <c r="G15" s="37"/>
      <c r="H15" s="37"/>
      <c r="L15" s="37"/>
    </row>
    <row r="16">
      <c r="F16" s="37"/>
      <c r="G16" s="37"/>
      <c r="H16" s="37"/>
      <c r="L16" s="37"/>
    </row>
    <row r="17">
      <c r="F17" s="37"/>
      <c r="G17" s="37"/>
      <c r="H17" s="37"/>
      <c r="L17" s="37"/>
    </row>
    <row r="18">
      <c r="F18" s="37"/>
      <c r="G18" s="37"/>
      <c r="H18" s="37"/>
      <c r="L18" s="37"/>
    </row>
    <row r="19">
      <c r="F19" s="37"/>
      <c r="G19" s="37"/>
      <c r="H19" s="37"/>
      <c r="L19" s="37"/>
    </row>
    <row r="20">
      <c r="F20" s="37"/>
      <c r="G20" s="37"/>
      <c r="H20" s="37"/>
      <c r="L20" s="37"/>
    </row>
    <row r="21">
      <c r="F21" s="37"/>
      <c r="G21" s="37"/>
      <c r="H21" s="37"/>
      <c r="L21" s="37"/>
    </row>
    <row r="22">
      <c r="F22" s="37"/>
      <c r="G22" s="37"/>
      <c r="H22" s="37"/>
      <c r="L22" s="37"/>
    </row>
    <row r="23">
      <c r="F23" s="37"/>
      <c r="G23" s="37"/>
      <c r="H23" s="37"/>
      <c r="L23" s="37"/>
    </row>
    <row r="24">
      <c r="F24" s="37"/>
      <c r="G24" s="37"/>
      <c r="H24" s="37"/>
      <c r="L24" s="37"/>
    </row>
    <row r="25">
      <c r="F25" s="37"/>
      <c r="G25" s="37"/>
      <c r="H25" s="37"/>
      <c r="L25" s="37"/>
    </row>
    <row r="26">
      <c r="F26" s="37"/>
      <c r="G26" s="37"/>
      <c r="H26" s="37"/>
      <c r="L26" s="37"/>
    </row>
    <row r="27">
      <c r="F27" s="37"/>
      <c r="G27" s="37"/>
      <c r="H27" s="37"/>
      <c r="L27" s="37"/>
    </row>
    <row r="28">
      <c r="F28" s="37"/>
      <c r="G28" s="37"/>
      <c r="H28" s="37"/>
      <c r="L28" s="37"/>
    </row>
    <row r="29">
      <c r="F29" s="37"/>
      <c r="G29" s="37"/>
      <c r="H29" s="37"/>
      <c r="L29" s="37"/>
    </row>
    <row r="30">
      <c r="F30" s="37"/>
      <c r="G30" s="37"/>
      <c r="H30" s="37"/>
      <c r="L30" s="37"/>
    </row>
    <row r="31">
      <c r="F31" s="37"/>
      <c r="G31" s="37"/>
      <c r="H31" s="37"/>
      <c r="L31" s="37"/>
    </row>
    <row r="32">
      <c r="F32" s="37"/>
      <c r="G32" s="37"/>
      <c r="H32" s="37"/>
      <c r="L32" s="37"/>
    </row>
    <row r="33">
      <c r="F33" s="37"/>
      <c r="G33" s="37"/>
      <c r="H33" s="37"/>
      <c r="L33" s="37"/>
    </row>
    <row r="34">
      <c r="F34" s="37"/>
      <c r="G34" s="37"/>
      <c r="H34" s="37"/>
      <c r="L34" s="37"/>
    </row>
    <row r="35">
      <c r="F35" s="37"/>
      <c r="G35" s="37"/>
      <c r="H35" s="37"/>
      <c r="L35" s="37"/>
    </row>
    <row r="36">
      <c r="F36" s="37"/>
      <c r="G36" s="37"/>
      <c r="H36" s="37"/>
      <c r="L36" s="37"/>
    </row>
    <row r="37">
      <c r="F37" s="37"/>
      <c r="G37" s="37"/>
      <c r="H37" s="37"/>
      <c r="L37" s="37"/>
    </row>
    <row r="38">
      <c r="F38" s="37"/>
      <c r="G38" s="37"/>
      <c r="H38" s="37"/>
      <c r="L38" s="37"/>
    </row>
    <row r="39">
      <c r="F39" s="37"/>
      <c r="G39" s="37"/>
      <c r="H39" s="37"/>
      <c r="L39" s="37"/>
    </row>
    <row r="40">
      <c r="F40" s="37"/>
      <c r="G40" s="37"/>
      <c r="H40" s="37"/>
      <c r="L40" s="37"/>
    </row>
    <row r="41">
      <c r="F41" s="37"/>
      <c r="G41" s="37"/>
      <c r="H41" s="37"/>
      <c r="L41" s="37"/>
    </row>
    <row r="42">
      <c r="F42" s="37"/>
      <c r="G42" s="37"/>
      <c r="H42" s="37"/>
      <c r="L42" s="37"/>
    </row>
    <row r="43">
      <c r="F43" s="37"/>
      <c r="G43" s="37"/>
      <c r="H43" s="37"/>
      <c r="L43" s="37"/>
    </row>
    <row r="44">
      <c r="F44" s="37"/>
      <c r="G44" s="37"/>
      <c r="H44" s="37"/>
      <c r="L44" s="37"/>
    </row>
    <row r="45">
      <c r="F45" s="37"/>
      <c r="G45" s="37"/>
      <c r="H45" s="37"/>
      <c r="L45" s="37"/>
    </row>
    <row r="46">
      <c r="F46" s="37"/>
      <c r="G46" s="37"/>
      <c r="H46" s="37"/>
      <c r="L46" s="37"/>
    </row>
    <row r="47">
      <c r="F47" s="37"/>
      <c r="G47" s="37"/>
      <c r="H47" s="37"/>
      <c r="L47" s="37"/>
    </row>
    <row r="48">
      <c r="F48" s="37"/>
      <c r="G48" s="37"/>
      <c r="H48" s="37"/>
      <c r="L48" s="37"/>
    </row>
    <row r="49">
      <c r="F49" s="37"/>
      <c r="G49" s="37"/>
      <c r="H49" s="37"/>
      <c r="L49" s="37"/>
    </row>
    <row r="50">
      <c r="F50" s="37"/>
      <c r="G50" s="37"/>
      <c r="H50" s="37"/>
      <c r="L50" s="37"/>
    </row>
  </sheetData>
  <mergeCells count="8">
    <mergeCell ref="B5:C5"/>
    <mergeCell ref="D5:F5"/>
    <mergeCell ref="G5:I5"/>
    <mergeCell ref="J5:L5"/>
    <mergeCell ref="B6:C6"/>
    <mergeCell ref="D6:F6"/>
    <mergeCell ref="G6:I6"/>
    <mergeCell ref="J6:L6"/>
  </mergeCells>
  <dataValidations>
    <dataValidation type="list" allowBlank="1" sqref="F9:G50">
      <formula1>"Critical,High,Medium,Low"</formula1>
    </dataValidation>
    <dataValidation type="list" allowBlank="1" sqref="H9:H50">
      <formula1>"Open,In Progress,Resolved,Closed,Rejected,Deferred"</formula1>
    </dataValidation>
    <dataValidation type="list" allowBlank="1" sqref="L9:L50">
      <formula1>"Pending,Passed,Failed,Deferred,N/A"</formula1>
    </dataValidation>
  </dataValidations>
  <drawing r:id="rId1"/>
</worksheet>
</file>