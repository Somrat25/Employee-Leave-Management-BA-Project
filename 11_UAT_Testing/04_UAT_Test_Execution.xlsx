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<sst xmlns="http://schemas.openxmlformats.org/spreadsheetml/2006/main" count="195" uniqueCount="115">
  <si>
    <t>ELMS - UAT Test Execution Tracker</t>
  </si>
  <si>
    <t>System: Employee Leave Management System (ELMS) | Target: TC-001 to TC-029</t>
  </si>
  <si>
    <t>Total Tests</t>
  </si>
  <si>
    <t>Passed</t>
  </si>
  <si>
    <t>Failed</t>
  </si>
  <si>
    <t>Blocked</t>
  </si>
  <si>
    <t>Not Executed</t>
  </si>
  <si>
    <t>Pass Rate</t>
  </si>
  <si>
    <t>Completion</t>
  </si>
  <si>
    <t>Test Case ID</t>
  </si>
  <si>
    <t>Role</t>
  </si>
  <si>
    <t>Execution Date</t>
  </si>
  <si>
    <t>Tester</t>
  </si>
  <si>
    <t>Actual Result</t>
  </si>
  <si>
    <t>Status</t>
  </si>
  <si>
    <t>Defect ID</t>
  </si>
  <si>
    <t>Comments</t>
  </si>
  <si>
    <t>TC-001</t>
  </si>
  <si>
    <t>Employee</t>
  </si>
  <si>
    <t>Moshahed Ullah</t>
  </si>
  <si>
    <t>Employee dashboard opened after valid demo login.</t>
  </si>
  <si>
    <t>Pass</t>
  </si>
  <si>
    <t>Demo prototype verified</t>
  </si>
  <si>
    <t>TC-002</t>
  </si>
  <si>
    <t>Error alert displayed for invalid username/password combinations.</t>
  </si>
  <si>
    <t>Authentication error handling verified in Figma</t>
  </si>
  <si>
    <t>TC-003</t>
  </si>
  <si>
    <t>User details, role, and leave balance summary displayed accurately.</t>
  </si>
  <si>
    <t>Profile and entitlement widget verified</t>
  </si>
  <si>
    <t>TC-004</t>
  </si>
  <si>
    <t>Leave application form submitted successfully with valid dates and type.</t>
  </si>
  <si>
    <t>Figma interactive form prototype verified</t>
  </si>
  <si>
    <t>TC-005</t>
  </si>
  <si>
    <t>System restricted submission when requested days exceeded available balance.</t>
  </si>
  <si>
    <t>Balance check validation prompt verified</t>
  </si>
  <si>
    <t>TC-006</t>
  </si>
  <si>
    <t>File selector opened in UI, but backend document upload storage is not integrated.</t>
  </si>
  <si>
    <t>DEF-001</t>
  </si>
  <si>
    <t>Backend file storage API required for actual upload</t>
  </si>
  <si>
    <t>TC-007</t>
  </si>
  <si>
    <t>Leave duration correctly calculated excluding weekly holidays.</t>
  </si>
  <si>
    <t>Duration calculation verified</t>
  </si>
  <si>
    <t>TC-008</t>
  </si>
  <si>
    <t>Submitted request listed under 'Pending Approvals' with correct submission timestamp.</t>
  </si>
  <si>
    <t>Status tracking verified in employee portal</t>
  </si>
  <si>
    <t>TC-009</t>
  </si>
  <si>
    <t>Employee able to cancel pending leave; status updated to 'Cancelled'.</t>
  </si>
  <si>
    <t>Cancellation action and state change verified</t>
  </si>
  <si>
    <t>TC-010</t>
  </si>
  <si>
    <t>Email notification trigger cannot execute without live SMTP mail relay server.</t>
  </si>
  <si>
    <t>DEF-002</t>
  </si>
  <si>
    <t>Blocked: SMTP mail server integration pending</t>
  </si>
  <si>
    <t>TC-011</t>
  </si>
  <si>
    <t>Pending applications correctly rendered in manager's approval queue.</t>
  </si>
  <si>
    <t>Pending approval queue view verified</t>
  </si>
  <si>
    <t>TC-012</t>
  </si>
  <si>
    <t>Manager approved application; status transitioned to 'Approved'.</t>
  </si>
  <si>
    <t>Approval workflow verified in Figma</t>
  </si>
  <si>
    <t>TC-013</t>
  </si>
  <si>
    <t>Prompt enforced mandatory rejection reason before submission.</t>
  </si>
  <si>
    <t>Rejection reason validation verified</t>
  </si>
  <si>
    <t>TC-014</t>
  </si>
  <si>
    <t>Approved leaves reflected on the team calendar view.</t>
  </si>
  <si>
    <t>Shared department calendar verified</t>
  </si>
  <si>
    <t>TC-015</t>
  </si>
  <si>
    <t>Employee leave balance accurately decremented upon approval.</t>
  </si>
  <si>
    <t>Entitlement balance deduction verified</t>
  </si>
  <si>
    <t>TC-016</t>
  </si>
  <si>
    <t>Manager</t>
  </si>
  <si>
    <t>Manager able to filter by leave type and select all pending requests for bulk action.</t>
  </si>
  <si>
    <t>Bulk approval interaction verified</t>
  </si>
  <si>
    <t>TC-017</t>
  </si>
  <si>
    <t>System alerted manager when concurrent team members requested same dates.</t>
  </si>
  <si>
    <t>Concurrent leave conflict detection verified</t>
  </si>
  <si>
    <t>TC-018</t>
  </si>
  <si>
    <t>Leave types, annual quotas, and carry-forward rules displayed and configurable.</t>
  </si>
  <si>
    <t>Policy setup interface verified in prototype</t>
  </si>
  <si>
    <t>TC-019</t>
  </si>
  <si>
    <t>Batch rollover script and encashment processing require backend server cron job.</t>
  </si>
  <si>
    <t>DEF-003</t>
  </si>
  <si>
    <t>Requires backend database scheduler / cron execution</t>
  </si>
  <si>
    <t>TC-020</t>
  </si>
  <si>
    <t>Audit log table rendered user actions, timestamps, and IP addresses.</t>
  </si>
  <si>
    <t>Security and audit trail logging verified</t>
  </si>
  <si>
    <t>TC-021</t>
  </si>
  <si>
    <t>Power BI ELMS report connected to dataset; model refresh completed successfully.</t>
  </si>
  <si>
    <t>Power BI semantic data model refresh verified</t>
  </si>
  <si>
    <t>TC-022</t>
  </si>
  <si>
    <t>HR Admin</t>
  </si>
  <si>
    <t>Monthly leave trends visual rendered with historical comparison and forecast line.</t>
  </si>
  <si>
    <t>Monthly trends line chart verified</t>
  </si>
  <si>
    <t>TC-023</t>
  </si>
  <si>
    <t>Department-wise leave utilization breakdown visual accurately displays percentages.</t>
  </si>
  <si>
    <t>Departmental breakdown chart verified</t>
  </si>
  <si>
    <t>TC-024</t>
  </si>
  <si>
    <t>Donut chart displays proportion of Annual, Sick, and Casual leaves correctly.</t>
  </si>
  <si>
    <t>Leave type distribution visual verified</t>
  </si>
  <si>
    <t>TC-025</t>
  </si>
  <si>
    <t>System Admin</t>
  </si>
  <si>
    <t>Calendar heatmap matrix highlights high absenteeism and peak holiday periods.</t>
  </si>
  <si>
    <t>Peak period absenteeism matrix verified</t>
  </si>
  <si>
    <t>TC-026</t>
  </si>
  <si>
    <t>Card KPI displays average manager approval response time within SLA targets.</t>
  </si>
  <si>
    <t>Approval SLA KPI card verified</t>
  </si>
  <si>
    <t>TC-027</t>
  </si>
  <si>
    <t>Management</t>
  </si>
  <si>
    <t>Executive dashboard KPI cards display Total Leaves, Utilization, and Approval Rate.</t>
  </si>
  <si>
    <t>Management summary scorecard verified</t>
  </si>
  <si>
    <t>TC-028</t>
  </si>
  <si>
    <t>Interactive drill-down hierarchy from business unit to employee level verified.</t>
  </si>
  <si>
    <t>Hierarchical drill-through report verified</t>
  </si>
  <si>
    <t>TC-029</t>
  </si>
  <si>
    <t>Direct PDF export works; automated scheduled email distribution requires Power BI Pro cloud tenant.</t>
  </si>
  <si>
    <t>DEF-004</t>
  </si>
  <si>
    <t>Blocked: Cloud workspace tenant license required for scheduled subscriptions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</si>
</sst>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yyyy-mm-dd"/>
  </numFmts>
  <fonts count="9">
    <font>
      <sz val="10.0"/>
      <color rgb="FF000000"/>
      <name val="Arial"/>
      <scheme val="minor"/>
    </font>
    <font>
      <b/>
      <sz val="16.0"/>
      <color rgb="FF1E3989"/>
      <name val="Google Sans"/>
    </font>
    <font>
      <i/>
      <sz val="10.0"/>
      <color rgb="FF63748A"/>
      <name val="Google Sans"/>
    </font>
    <font>
      <b/>
      <sz val="9.0"/>
      <color rgb="FF5A6A85"/>
      <name val="Google Sans"/>
    </font>
    <font>
      <b/>
      <sz val="14.0"/>
      <color rgb="FF1E293A"/>
      <name val="Google Sans"/>
    </font>
    <font>
      <b/>
      <sz val="10.0"/>
      <color rgb="FFFFFFFF"/>
      <name val="Google Sans"/>
    </font>
    <font>
      <b/>
      <sz val="9.0"/>
      <color rgb="FF1E3989"/>
      <name val="Google Sans"/>
    </font>
    <font>
      <sz val="9.0"/>
      <color rgb="FF191919"/>
      <name val="Google Sans"/>
    </font>
    <font>
      <sz val="9.0"/>
      <color theme="1"/>
      <name val="Google Sans"/>
    </font>
  </fonts>
  <fills count="5">
    <fill>
      <patternFill patternType="none"/>
    </fill>
    <fill>
      <patternFill patternType="lightGray"/>
    </fill>
    <fill>
      <patternFill patternType="solid">
        <fgColor rgb="FFF0F5F8"/>
        <bgColor rgb="FFF0F5F8"/>
      </patternFill>
    </fill>
    <fill>
      <patternFill patternType="solid">
        <fgColor rgb="FFFFFFFF"/>
        <bgColor rgb="FFFFFFFF"/>
      </patternFill>
    </fill>
    <fill>
      <patternFill patternType="solid">
        <fgColor rgb="FF1E3989"/>
        <bgColor rgb="FF1E3989"/>
      </patternFill>
    </fill>
  </fills>
  <borders count="13">
    <border/>
    <border>
      <left style="thin">
        <color rgb="FFCCD4E0"/>
      </left>
      <right style="thin">
        <color rgb="FFE0E8EF"/>
      </right>
      <top style="thin">
        <color rgb="FFCCD4E0"/>
      </top>
      <bottom style="thin">
        <color rgb="FFE0E8EF"/>
      </bottom>
    </border>
    <border>
      <left style="thin">
        <color rgb="FFE0E8EF"/>
      </left>
      <right style="thin">
        <color rgb="FFE0E8EF"/>
      </right>
      <top style="thin">
        <color rgb="FFCCD4E0"/>
      </top>
      <bottom style="thin">
        <color rgb="FFE0E8EF"/>
      </bottom>
    </border>
    <border>
      <left style="thin">
        <color rgb="FFE0E8EF"/>
      </left>
      <right style="thin">
        <color rgb="FFCCD4E0"/>
      </right>
      <top style="thin">
        <color rgb="FFCCD4E0"/>
      </top>
      <bottom style="thin">
        <color rgb="FFE0E8EF"/>
      </bottom>
    </border>
    <border>
      <left style="thin">
        <color rgb="FFCCD4E0"/>
      </left>
      <right style="thin">
        <color rgb="FFE0E8EF"/>
      </right>
      <top style="thin">
        <color rgb="FFE0E8EF"/>
      </top>
      <bottom style="thin">
        <color rgb="FFCCD4E0"/>
      </bottom>
    </border>
    <border>
      <left style="thin">
        <color rgb="FFE0E8EF"/>
      </left>
      <right style="thin">
        <color rgb="FFE0E8EF"/>
      </right>
      <top style="thin">
        <color rgb="FFE0E8EF"/>
      </top>
      <bottom style="thin">
        <color rgb="FFCCD4E0"/>
      </bottom>
    </border>
    <border>
      <left style="thin">
        <color rgb="FFE0E8EF"/>
      </left>
      <right style="thin">
        <color rgb="FFCCD4E0"/>
      </right>
      <top style="thin">
        <color rgb="FFE0E8EF"/>
      </top>
      <bottom style="thin">
        <color rgb="FFCCD4E0"/>
      </bottom>
    </border>
    <border>
      <left style="thin">
        <color rgb="FFCCD4E0"/>
      </left>
      <right style="thin">
        <color rgb="FFE0E8EF"/>
      </right>
      <top style="thin">
        <color rgb="FF1E3989"/>
      </top>
      <bottom style="thin">
        <color rgb="FFE0E8EF"/>
      </bottom>
    </border>
    <border>
      <left style="thin">
        <color rgb="FFE0E8EF"/>
      </left>
      <right style="thin">
        <color rgb="FFE0E8EF"/>
      </right>
      <top style="thin">
        <color rgb="FF1E3989"/>
      </top>
      <bottom style="thin">
        <color rgb="FFE0E8EF"/>
      </bottom>
    </border>
    <border>
      <left style="thin">
        <color rgb="FFE0E8EF"/>
      </left>
      <right style="thin">
        <color rgb="FFCCD4E0"/>
      </right>
      <top style="thin">
        <color rgb="FF1E3989"/>
      </top>
      <bottom style="thin">
        <color rgb="FFE0E8EF"/>
      </bottom>
    </border>
    <border>
      <left style="thin">
        <color rgb="FFCCD4E0"/>
      </left>
      <right style="thin">
        <color rgb="FFE0E8EF"/>
      </right>
      <top style="thin">
        <color rgb="FFE0E8EF"/>
      </top>
      <bottom style="thin">
        <color rgb="FFE0E8EF"/>
      </bottom>
    </border>
    <border>
      <left style="thin">
        <color rgb="FFE0E8EF"/>
      </left>
      <right style="thin">
        <color rgb="FFE0E8EF"/>
      </right>
      <top style="thin">
        <color rgb="FFE0E8EF"/>
      </top>
      <bottom style="thin">
        <color rgb="FFE0E8EF"/>
      </bottom>
    </border>
    <border>
      <left style="thin">
        <color rgb="FFE0E8EF"/>
      </left>
      <right style="thin">
        <color rgb="FFCCD4E0"/>
      </right>
      <top style="thin">
        <color rgb="FFE0E8EF"/>
      </top>
      <bottom style="thin">
        <color rgb="FFE0E8EF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readingOrder="0" vertical="center"/>
    </xf>
    <xf borderId="2" fillId="2" fontId="3" numFmtId="0" xfId="0" applyAlignment="1" applyBorder="1" applyFill="1" applyFont="1">
      <alignment horizontal="center" readingOrder="0" vertical="center"/>
    </xf>
    <xf borderId="3" fillId="2" fontId="3" numFmtId="0" xfId="0" applyAlignment="1" applyBorder="1" applyFill="1" applyFont="1">
      <alignment horizontal="center" readingOrder="0" vertical="center"/>
    </xf>
    <xf borderId="4" fillId="3" fontId="4" numFmtId="0" xfId="0" applyAlignment="1" applyBorder="1" applyFill="1" applyFont="1">
      <alignment horizontal="center" vertical="center"/>
    </xf>
    <xf borderId="5" fillId="3" fontId="4" numFmtId="0" xfId="0" applyAlignment="1" applyBorder="1" applyFill="1" applyFont="1">
      <alignment horizontal="center" vertical="center"/>
    </xf>
    <xf borderId="5" fillId="3" fontId="4" numFmtId="164" xfId="0" applyAlignment="1" applyBorder="1" applyFill="1" applyFont="1" applyNumberFormat="1">
      <alignment horizontal="center" vertical="center"/>
    </xf>
    <xf borderId="6" fillId="3" fontId="4" numFmtId="164" xfId="0" applyAlignment="1" applyBorder="1" applyFill="1" applyFont="1" applyNumberFormat="1">
      <alignment horizontal="center" vertical="center"/>
    </xf>
    <xf borderId="7" fillId="4" fontId="5" numFmtId="0" xfId="0" applyAlignment="1" applyBorder="1" applyFill="1" applyFont="1">
      <alignment horizontal="center" readingOrder="0" vertical="center"/>
    </xf>
    <xf borderId="8" fillId="4" fontId="5" numFmtId="0" xfId="0" applyAlignment="1" applyBorder="1" applyFill="1" applyFont="1">
      <alignment horizontal="center" readingOrder="0" vertical="center"/>
    </xf>
    <xf borderId="9" fillId="4" fontId="5" numFmtId="0" xfId="0" applyAlignment="1" applyBorder="1" applyFill="1" applyFont="1">
      <alignment horizontal="center" readingOrder="0" vertical="center"/>
    </xf>
    <xf borderId="10" fillId="0" fontId="6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11" fillId="0" fontId="8" numFmtId="165" xfId="0" applyAlignment="1" applyBorder="1" applyFont="1" applyNumberFormat="1">
      <alignment horizontal="center" readingOrder="0" vertical="center"/>
    </xf>
    <xf borderId="11" fillId="0" fontId="8" numFmtId="0" xfId="0" applyAlignment="1" applyBorder="1" applyFont="1">
      <alignment horizontal="left" readingOrder="0" vertical="center"/>
    </xf>
    <xf borderId="11" fillId="0" fontId="8" numFmtId="0" xfId="0" applyAlignment="1" applyBorder="1" applyFont="1">
      <alignment horizontal="left" readingOrder="0" shrinkToFit="0" vertical="center" wrapText="1"/>
    </xf>
    <xf borderId="11" fillId="0" fontId="8" numFmtId="0" xfId="0" applyAlignment="1" applyBorder="1" applyFont="1">
      <alignment horizontal="center" vertical="center"/>
    </xf>
    <xf borderId="12" fillId="0" fontId="8" numFmtId="0" xfId="0" applyAlignment="1" applyBorder="1" applyFont="1">
      <alignment horizontal="left" readingOrder="0" shrinkToFit="0" vertical="center" wrapText="1"/>
    </xf>
    <xf borderId="11" fillId="0" fontId="8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center" readingOrder="0" vertical="center"/>
    </xf>
    <xf borderId="5" fillId="0" fontId="8" numFmtId="165" xfId="0" applyAlignment="1" applyBorder="1" applyFont="1" applyNumberFormat="1">
      <alignment horizontal="center" readingOrder="0" vertical="center"/>
    </xf>
    <xf borderId="5" fillId="0" fontId="8" numFmtId="0" xfId="0" applyAlignment="1" applyBorder="1" applyFont="1">
      <alignment horizontal="left" readingOrder="0" vertical="center"/>
    </xf>
    <xf borderId="5" fillId="0" fontId="8" numFmtId="0" xfId="0" applyAlignment="1" applyBorder="1" applyFont="1">
      <alignment horizontal="left" readingOrder="0" shrinkToFit="0" vertical="center" wrapText="1"/>
    </xf>
    <xf borderId="5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1E3989"/>
          <bgColor rgb="FF1E398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B"/>
          <bgColor rgb="FFF6F8FB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7:I36" displayName="Table_1" name="Table_1" id="1">
  <tableColumns count="8">
    <tableColumn name="Test Case ID" id="1"/>
    <tableColumn name="Role" id="2"/>
    <tableColumn name="Execution Date" id="3"/>
    <tableColumn name="Tester" id="4"/>
    <tableColumn name="Actual Result" id="5"/>
    <tableColumn name="Status" id="6"/>
    <tableColumn name="Defect ID" id="7"/>
    <tableColumn name="Comments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3.88"/>
    <col customWidth="1" min="2" max="2" width="15.13"/>
    <col customWidth="1" min="3" max="5" width="16.38"/>
    <col customWidth="1" min="6" max="6" width="47.63"/>
    <col customWidth="1" min="7" max="7" width="17.63"/>
    <col customWidth="1" min="8" max="8" width="13.88"/>
    <col customWidth="1" min="9" max="9" width="40.13"/>
  </cols>
  <sheetData>
    <row r="2" ht="27.0" customHeight="1">
      <c r="B2" s="1" t="s">
        <v>0</v>
      </c>
      <c r="C2" s="2"/>
      <c r="D2" s="2"/>
      <c r="E2" s="2"/>
      <c r="F2" s="2"/>
      <c r="G2" s="2"/>
      <c r="H2" s="2"/>
      <c r="I2" s="2"/>
    </row>
    <row r="3" ht="18.0" customHeight="1">
      <c r="B3" s="3" t="s">
        <v>1</v>
      </c>
      <c r="C3" s="4"/>
      <c r="D3" s="4"/>
      <c r="E3" s="4"/>
      <c r="F3" s="4"/>
      <c r="G3" s="4"/>
      <c r="H3" s="4"/>
      <c r="I3" s="4"/>
    </row>
    <row r="4" ht="19.5" customHeight="1">
      <c r="B4" s="5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7" t="s">
        <v>8</v>
      </c>
    </row>
    <row r="5" ht="27.0" customHeight="1">
      <c r="B5" s="8">
        <f>COUNTA(B8:B36)</f>
        <v>29</v>
      </c>
      <c r="C5" s="9">
        <f>COUNTIF(G8:G36, "Pass")</f>
        <v>25</v>
      </c>
      <c r="D5" s="9">
        <f>COUNTIF(G8:G36, "Fail")</f>
        <v>0</v>
      </c>
      <c r="E5" s="9">
        <f>COUNTIF(G8:G36, "Blocked")</f>
        <v>4</v>
      </c>
      <c r="F5" s="9">
        <f>COUNTIF(G8:G36, "Not Executed")</f>
        <v>0</v>
      </c>
      <c r="G5" s="10">
        <f>IFERROR(C5/(C5+D5), 0)</f>
        <v>1</v>
      </c>
      <c r="H5" s="11">
        <f>IFERROR((B5-F5)/B5, 0)</f>
        <v>1</v>
      </c>
    </row>
    <row r="6" ht="13.5" customHeight="1"/>
    <row r="7" ht="25.5" customHeight="1">
      <c r="B7" s="12" t="s">
        <v>9</v>
      </c>
      <c r="C7" s="13" t="s">
        <v>10</v>
      </c>
      <c r="D7" s="13" t="s">
        <v>11</v>
      </c>
      <c r="E7" s="13" t="s">
        <v>12</v>
      </c>
      <c r="F7" s="13" t="s">
        <v>13</v>
      </c>
      <c r="G7" s="13" t="s">
        <v>14</v>
      </c>
      <c r="H7" s="13" t="s">
        <v>15</v>
      </c>
      <c r="I7" s="14" t="s">
        <v>16</v>
      </c>
    </row>
    <row r="8">
      <c r="B8" s="15" t="s">
        <v>17</v>
      </c>
      <c r="C8" s="16" t="s">
        <v>18</v>
      </c>
      <c r="D8" s="17">
        <v>46213.0</v>
      </c>
      <c r="E8" s="18" t="s">
        <v>19</v>
      </c>
      <c r="F8" s="19" t="s">
        <v>20</v>
      </c>
      <c r="G8" s="16" t="s">
        <v>21</v>
      </c>
      <c r="H8" s="20"/>
      <c r="I8" s="21" t="s">
        <v>22</v>
      </c>
    </row>
    <row r="9">
      <c r="B9" s="15" t="s">
        <v>23</v>
      </c>
      <c r="C9" s="16" t="s">
        <v>18</v>
      </c>
      <c r="D9" s="17">
        <v>46213.0</v>
      </c>
      <c r="E9" s="18" t="s">
        <v>19</v>
      </c>
      <c r="F9" s="19" t="s">
        <v>24</v>
      </c>
      <c r="G9" s="16" t="s">
        <v>21</v>
      </c>
      <c r="H9" s="20"/>
      <c r="I9" s="21" t="s">
        <v>25</v>
      </c>
    </row>
    <row r="10">
      <c r="B10" s="15" t="s">
        <v>26</v>
      </c>
      <c r="C10" s="16" t="s">
        <v>18</v>
      </c>
      <c r="D10" s="17">
        <v>46213.0</v>
      </c>
      <c r="E10" s="18" t="s">
        <v>19</v>
      </c>
      <c r="F10" s="19" t="s">
        <v>27</v>
      </c>
      <c r="G10" s="16" t="s">
        <v>21</v>
      </c>
      <c r="H10" s="20"/>
      <c r="I10" s="21" t="s">
        <v>28</v>
      </c>
    </row>
    <row r="11">
      <c r="B11" s="15" t="s">
        <v>29</v>
      </c>
      <c r="C11" s="16" t="s">
        <v>18</v>
      </c>
      <c r="D11" s="17">
        <v>46213.0</v>
      </c>
      <c r="E11" s="18" t="s">
        <v>19</v>
      </c>
      <c r="F11" s="19" t="s">
        <v>30</v>
      </c>
      <c r="G11" s="16" t="s">
        <v>21</v>
      </c>
      <c r="H11" s="20"/>
      <c r="I11" s="21" t="s">
        <v>31</v>
      </c>
    </row>
    <row r="12">
      <c r="B12" s="15" t="s">
        <v>32</v>
      </c>
      <c r="C12" s="16" t="s">
        <v>18</v>
      </c>
      <c r="D12" s="17">
        <v>46213.0</v>
      </c>
      <c r="E12" s="18" t="s">
        <v>19</v>
      </c>
      <c r="F12" s="19" t="s">
        <v>33</v>
      </c>
      <c r="G12" s="16" t="s">
        <v>21</v>
      </c>
      <c r="H12" s="20"/>
      <c r="I12" s="21" t="s">
        <v>34</v>
      </c>
    </row>
    <row r="13">
      <c r="B13" s="15" t="s">
        <v>35</v>
      </c>
      <c r="C13" s="16" t="s">
        <v>18</v>
      </c>
      <c r="D13" s="17">
        <v>46213.0</v>
      </c>
      <c r="E13" s="18" t="s">
        <v>19</v>
      </c>
      <c r="F13" s="19" t="s">
        <v>36</v>
      </c>
      <c r="G13" s="16" t="s">
        <v>5</v>
      </c>
      <c r="H13" s="22" t="s">
        <v>37</v>
      </c>
      <c r="I13" s="21" t="s">
        <v>38</v>
      </c>
    </row>
    <row r="14">
      <c r="B14" s="15" t="s">
        <v>39</v>
      </c>
      <c r="C14" s="16" t="s">
        <v>18</v>
      </c>
      <c r="D14" s="17">
        <v>46213.0</v>
      </c>
      <c r="E14" s="18" t="s">
        <v>19</v>
      </c>
      <c r="F14" s="19" t="s">
        <v>40</v>
      </c>
      <c r="G14" s="16" t="s">
        <v>21</v>
      </c>
      <c r="H14" s="20"/>
      <c r="I14" s="21" t="s">
        <v>41</v>
      </c>
    </row>
    <row r="15">
      <c r="B15" s="15" t="s">
        <v>42</v>
      </c>
      <c r="C15" s="16" t="s">
        <v>18</v>
      </c>
      <c r="D15" s="17">
        <v>46213.0</v>
      </c>
      <c r="E15" s="18" t="s">
        <v>19</v>
      </c>
      <c r="F15" s="19" t="s">
        <v>43</v>
      </c>
      <c r="G15" s="16" t="s">
        <v>21</v>
      </c>
      <c r="H15" s="20"/>
      <c r="I15" s="21" t="s">
        <v>44</v>
      </c>
    </row>
    <row r="16">
      <c r="B16" s="15" t="s">
        <v>45</v>
      </c>
      <c r="C16" s="16" t="s">
        <v>18</v>
      </c>
      <c r="D16" s="17">
        <v>46213.0</v>
      </c>
      <c r="E16" s="18" t="s">
        <v>19</v>
      </c>
      <c r="F16" s="19" t="s">
        <v>46</v>
      </c>
      <c r="G16" s="16" t="s">
        <v>21</v>
      </c>
      <c r="H16" s="20"/>
      <c r="I16" s="21" t="s">
        <v>47</v>
      </c>
    </row>
    <row r="17">
      <c r="B17" s="15" t="s">
        <v>48</v>
      </c>
      <c r="C17" s="16" t="s">
        <v>18</v>
      </c>
      <c r="D17" s="17">
        <v>46214.0</v>
      </c>
      <c r="E17" s="18" t="s">
        <v>19</v>
      </c>
      <c r="F17" s="19" t="s">
        <v>49</v>
      </c>
      <c r="G17" s="16" t="s">
        <v>5</v>
      </c>
      <c r="H17" s="22" t="s">
        <v>50</v>
      </c>
      <c r="I17" s="21" t="s">
        <v>51</v>
      </c>
    </row>
    <row r="18">
      <c r="B18" s="15" t="s">
        <v>52</v>
      </c>
      <c r="C18" s="16" t="s">
        <v>18</v>
      </c>
      <c r="D18" s="17">
        <v>46214.0</v>
      </c>
      <c r="E18" s="18" t="s">
        <v>19</v>
      </c>
      <c r="F18" s="19" t="s">
        <v>53</v>
      </c>
      <c r="G18" s="16" t="s">
        <v>21</v>
      </c>
      <c r="H18" s="20"/>
      <c r="I18" s="21" t="s">
        <v>54</v>
      </c>
    </row>
    <row r="19">
      <c r="B19" s="15" t="s">
        <v>55</v>
      </c>
      <c r="C19" s="16" t="s">
        <v>18</v>
      </c>
      <c r="D19" s="17">
        <v>46214.0</v>
      </c>
      <c r="E19" s="18" t="s">
        <v>19</v>
      </c>
      <c r="F19" s="19" t="s">
        <v>56</v>
      </c>
      <c r="G19" s="16" t="s">
        <v>21</v>
      </c>
      <c r="H19" s="20"/>
      <c r="I19" s="21" t="s">
        <v>57</v>
      </c>
    </row>
    <row r="20">
      <c r="B20" s="15" t="s">
        <v>58</v>
      </c>
      <c r="C20" s="16" t="s">
        <v>18</v>
      </c>
      <c r="D20" s="17">
        <v>46214.0</v>
      </c>
      <c r="E20" s="18" t="s">
        <v>19</v>
      </c>
      <c r="F20" s="19" t="s">
        <v>59</v>
      </c>
      <c r="G20" s="16" t="s">
        <v>21</v>
      </c>
      <c r="H20" s="20"/>
      <c r="I20" s="21" t="s">
        <v>60</v>
      </c>
    </row>
    <row r="21">
      <c r="B21" s="15" t="s">
        <v>61</v>
      </c>
      <c r="C21" s="16" t="s">
        <v>18</v>
      </c>
      <c r="D21" s="17">
        <v>46214.0</v>
      </c>
      <c r="E21" s="18" t="s">
        <v>19</v>
      </c>
      <c r="F21" s="19" t="s">
        <v>62</v>
      </c>
      <c r="G21" s="16" t="s">
        <v>21</v>
      </c>
      <c r="H21" s="20"/>
      <c r="I21" s="21" t="s">
        <v>63</v>
      </c>
    </row>
    <row r="22">
      <c r="B22" s="15" t="s">
        <v>64</v>
      </c>
      <c r="C22" s="16" t="s">
        <v>18</v>
      </c>
      <c r="D22" s="17">
        <v>46214.0</v>
      </c>
      <c r="E22" s="18" t="s">
        <v>19</v>
      </c>
      <c r="F22" s="19" t="s">
        <v>65</v>
      </c>
      <c r="G22" s="16" t="s">
        <v>21</v>
      </c>
      <c r="H22" s="20"/>
      <c r="I22" s="21" t="s">
        <v>66</v>
      </c>
    </row>
    <row r="23">
      <c r="B23" s="15" t="s">
        <v>67</v>
      </c>
      <c r="C23" s="16" t="s">
        <v>68</v>
      </c>
      <c r="D23" s="17">
        <v>46214.0</v>
      </c>
      <c r="E23" s="18" t="s">
        <v>19</v>
      </c>
      <c r="F23" s="19" t="s">
        <v>69</v>
      </c>
      <c r="G23" s="16" t="s">
        <v>21</v>
      </c>
      <c r="H23" s="20"/>
      <c r="I23" s="21" t="s">
        <v>70</v>
      </c>
    </row>
    <row r="24">
      <c r="B24" s="15" t="s">
        <v>71</v>
      </c>
      <c r="C24" s="16" t="s">
        <v>68</v>
      </c>
      <c r="D24" s="17">
        <v>46214.0</v>
      </c>
      <c r="E24" s="18" t="s">
        <v>19</v>
      </c>
      <c r="F24" s="19" t="s">
        <v>72</v>
      </c>
      <c r="G24" s="16" t="s">
        <v>21</v>
      </c>
      <c r="H24" s="20"/>
      <c r="I24" s="21" t="s">
        <v>73</v>
      </c>
    </row>
    <row r="25">
      <c r="B25" s="15" t="s">
        <v>74</v>
      </c>
      <c r="C25" s="16" t="s">
        <v>68</v>
      </c>
      <c r="D25" s="17">
        <v>46214.0</v>
      </c>
      <c r="E25" s="18" t="s">
        <v>19</v>
      </c>
      <c r="F25" s="19" t="s">
        <v>75</v>
      </c>
      <c r="G25" s="16" t="s">
        <v>21</v>
      </c>
      <c r="H25" s="20"/>
      <c r="I25" s="21" t="s">
        <v>76</v>
      </c>
    </row>
    <row r="26">
      <c r="B26" s="15" t="s">
        <v>77</v>
      </c>
      <c r="C26" s="16" t="s">
        <v>68</v>
      </c>
      <c r="D26" s="17">
        <v>46214.0</v>
      </c>
      <c r="E26" s="18" t="s">
        <v>19</v>
      </c>
      <c r="F26" s="19" t="s">
        <v>78</v>
      </c>
      <c r="G26" s="16" t="s">
        <v>5</v>
      </c>
      <c r="H26" s="22" t="s">
        <v>79</v>
      </c>
      <c r="I26" s="21" t="s">
        <v>80</v>
      </c>
    </row>
    <row r="27">
      <c r="B27" s="15" t="s">
        <v>81</v>
      </c>
      <c r="C27" s="16" t="s">
        <v>68</v>
      </c>
      <c r="D27" s="17">
        <v>46214.0</v>
      </c>
      <c r="E27" s="18" t="s">
        <v>19</v>
      </c>
      <c r="F27" s="19" t="s">
        <v>82</v>
      </c>
      <c r="G27" s="16" t="s">
        <v>21</v>
      </c>
      <c r="H27" s="20"/>
      <c r="I27" s="21" t="s">
        <v>83</v>
      </c>
    </row>
    <row r="28">
      <c r="B28" s="15" t="s">
        <v>84</v>
      </c>
      <c r="C28" s="16" t="s">
        <v>68</v>
      </c>
      <c r="D28" s="17">
        <v>46215.0</v>
      </c>
      <c r="E28" s="18" t="s">
        <v>19</v>
      </c>
      <c r="F28" s="19" t="s">
        <v>85</v>
      </c>
      <c r="G28" s="16" t="s">
        <v>21</v>
      </c>
      <c r="H28" s="20"/>
      <c r="I28" s="21" t="s">
        <v>86</v>
      </c>
    </row>
    <row r="29">
      <c r="B29" s="15" t="s">
        <v>87</v>
      </c>
      <c r="C29" s="16" t="s">
        <v>88</v>
      </c>
      <c r="D29" s="17">
        <v>46215.0</v>
      </c>
      <c r="E29" s="18" t="s">
        <v>19</v>
      </c>
      <c r="F29" s="19" t="s">
        <v>89</v>
      </c>
      <c r="G29" s="16" t="s">
        <v>21</v>
      </c>
      <c r="H29" s="20"/>
      <c r="I29" s="21" t="s">
        <v>90</v>
      </c>
    </row>
    <row r="30">
      <c r="B30" s="15" t="s">
        <v>91</v>
      </c>
      <c r="C30" s="16" t="s">
        <v>88</v>
      </c>
      <c r="D30" s="17">
        <v>46215.0</v>
      </c>
      <c r="E30" s="18" t="s">
        <v>19</v>
      </c>
      <c r="F30" s="19" t="s">
        <v>92</v>
      </c>
      <c r="G30" s="16" t="s">
        <v>21</v>
      </c>
      <c r="H30" s="20"/>
      <c r="I30" s="21" t="s">
        <v>93</v>
      </c>
    </row>
    <row r="31">
      <c r="B31" s="15" t="s">
        <v>94</v>
      </c>
      <c r="C31" s="16" t="s">
        <v>88</v>
      </c>
      <c r="D31" s="17">
        <v>46215.0</v>
      </c>
      <c r="E31" s="18" t="s">
        <v>19</v>
      </c>
      <c r="F31" s="19" t="s">
        <v>95</v>
      </c>
      <c r="G31" s="16" t="s">
        <v>21</v>
      </c>
      <c r="H31" s="20"/>
      <c r="I31" s="21" t="s">
        <v>96</v>
      </c>
    </row>
    <row r="32">
      <c r="B32" s="15" t="s">
        <v>97</v>
      </c>
      <c r="C32" s="16" t="s">
        <v>98</v>
      </c>
      <c r="D32" s="17">
        <v>46215.0</v>
      </c>
      <c r="E32" s="18" t="s">
        <v>19</v>
      </c>
      <c r="F32" s="19" t="s">
        <v>99</v>
      </c>
      <c r="G32" s="16" t="s">
        <v>21</v>
      </c>
      <c r="H32" s="20"/>
      <c r="I32" s="21" t="s">
        <v>100</v>
      </c>
    </row>
    <row r="33">
      <c r="B33" s="15" t="s">
        <v>101</v>
      </c>
      <c r="C33" s="16" t="s">
        <v>98</v>
      </c>
      <c r="D33" s="17">
        <v>46215.0</v>
      </c>
      <c r="E33" s="18" t="s">
        <v>19</v>
      </c>
      <c r="F33" s="19" t="s">
        <v>102</v>
      </c>
      <c r="G33" s="16" t="s">
        <v>21</v>
      </c>
      <c r="H33" s="20"/>
      <c r="I33" s="21" t="s">
        <v>103</v>
      </c>
    </row>
    <row r="34">
      <c r="B34" s="15" t="s">
        <v>104</v>
      </c>
      <c r="C34" s="16" t="s">
        <v>105</v>
      </c>
      <c r="D34" s="17">
        <v>46215.0</v>
      </c>
      <c r="E34" s="18" t="s">
        <v>19</v>
      </c>
      <c r="F34" s="19" t="s">
        <v>106</v>
      </c>
      <c r="G34" s="16" t="s">
        <v>21</v>
      </c>
      <c r="H34" s="20"/>
      <c r="I34" s="21" t="s">
        <v>107</v>
      </c>
    </row>
    <row r="35">
      <c r="B35" s="15" t="s">
        <v>108</v>
      </c>
      <c r="C35" s="16" t="s">
        <v>105</v>
      </c>
      <c r="D35" s="17">
        <v>46215.0</v>
      </c>
      <c r="E35" s="18" t="s">
        <v>19</v>
      </c>
      <c r="F35" s="19" t="s">
        <v>109</v>
      </c>
      <c r="G35" s="16" t="s">
        <v>21</v>
      </c>
      <c r="H35" s="20"/>
      <c r="I35" s="21" t="s">
        <v>110</v>
      </c>
    </row>
    <row r="36">
      <c r="B36" s="23" t="s">
        <v>111</v>
      </c>
      <c r="C36" s="24" t="s">
        <v>105</v>
      </c>
      <c r="D36" s="25">
        <v>46215.0</v>
      </c>
      <c r="E36" s="26" t="s">
        <v>19</v>
      </c>
      <c r="F36" s="27" t="s">
        <v>112</v>
      </c>
      <c r="G36" s="24" t="s">
        <v>5</v>
      </c>
      <c r="H36" s="28" t="s">
        <v>113</v>
      </c>
      <c r="I36" s="29" t="s">
        <v>114</v>
      </c>
    </row>
  </sheetData>
  <dataValidations>
    <dataValidation type="list" allowBlank="1" sqref="G8:G36">
      <formula1>"Pass,Fail,Blocked,Not Executed"</formula1>
    </dataValidation>
  </dataValidations>
  <drawing r:id="rId1"/>
  <tableParts count="1">
    <tablePart r:id="rId3"/>
  </tableParts>
</worksheet>
</file>